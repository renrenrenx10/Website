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PI Tracker" sheetId="2" state="visible" r:id="rId2"/>
    <sheet xmlns:r="http://schemas.openxmlformats.org/officeDocument/2006/relationships" name="Action Lo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dd/mm/yyyy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9FE3"/>
      <sz val="16"/>
    </font>
    <font>
      <name val="Arial"/>
      <charset val="1"/>
      <family val="0"/>
      <i val="1"/>
      <color rgb="FF5B595A"/>
      <sz val="10"/>
    </font>
    <font>
      <name val="Arial"/>
      <charset val="1"/>
      <family val="0"/>
      <b val="1"/>
      <color rgb="FF83348F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009FE3"/>
      <sz val="14"/>
    </font>
    <font>
      <name val="Arial"/>
      <charset val="1"/>
      <family val="0"/>
      <i val="1"/>
      <color rgb="FF5B595A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FFF2CC"/>
        <bgColor rgb="FFFFEB9C"/>
      </patternFill>
    </fill>
    <fill>
      <patternFill patternType="solid">
        <fgColor rgb="001C1C3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83348F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B595A"/>
      <rgbColor rgb="FF969696"/>
      <rgbColor rgb="FF003366"/>
      <rgbColor rgb="FF4F81BD"/>
      <rgbColor rgb="FF003300"/>
      <rgbColor rgb="FF333300"/>
      <rgbColor rgb="FF993300"/>
      <rgbColor rgb="FFBE4B48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PM Compliance % vs Target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'KPI Tracker'!$C$4:$N$4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'KPI Tracker'!$C$5:$N$5</f>
              <numCache>
                <formatCode>0.0%</formatCode>
                <ptCount val="12"/>
                <pt idx="0">
                  <v>0.88</v>
                </pt>
                <pt idx="1">
                  <v>0.9</v>
                </pt>
                <pt idx="2">
                  <v>0.91</v>
                </pt>
                <pt idx="3">
                  <v>0.93</v>
                </pt>
                <pt idx="4">
                  <v>0.92</v>
                </pt>
                <pt idx="5">
                  <v>0.9399999999999999</v>
                </pt>
                <pt idx="6">
                  <v>0.95</v>
                </pt>
                <pt idx="7">
                  <v>0.96</v>
                </pt>
                <pt idx="8">
                  <v>0.9399999999999999</v>
                </pt>
                <pt idx="9">
                  <v>0.97</v>
                </pt>
                <pt idx="10">
                  <v>0.95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4130655"/>
        <axId val="37449988"/>
      </lineChart>
      <catAx>
        <axId val="7413065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7449988"/>
        <crosses val="autoZero"/>
        <auto val="1"/>
        <lblAlgn val="ctr"/>
        <lblOffset val="100"/>
        <noMultiLvlLbl val="0"/>
      </catAx>
      <valAx>
        <axId val="3744998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413065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Overall OEE % vs Target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'KPI Tracker'!$C$4:$N$4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'KPI Tracker'!$C$6:$N$6</f>
              <numCache>
                <formatCode>0.0%</formatCode>
                <ptCount val="12"/>
                <pt idx="0">
                  <v>0.74</v>
                </pt>
                <pt idx="1">
                  <v>0.76</v>
                </pt>
                <pt idx="2">
                  <v>0.78</v>
                </pt>
                <pt idx="3">
                  <v>0.79</v>
                </pt>
                <pt idx="4">
                  <v>0.8</v>
                </pt>
                <pt idx="5">
                  <v>0.8100000000000001</v>
                </pt>
                <pt idx="6">
                  <v>0.82</v>
                </pt>
                <pt idx="7">
                  <v>0.83</v>
                </pt>
                <pt idx="8">
                  <v>0.84</v>
                </pt>
                <pt idx="9">
                  <v>0.85</v>
                </pt>
                <pt idx="10">
                  <v>0.86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0042867"/>
        <axId val="47273524"/>
      </lineChart>
      <catAx>
        <axId val="4004286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7273524"/>
        <crosses val="autoZero"/>
        <auto val="1"/>
        <lblAlgn val="ctr"/>
        <lblOffset val="100"/>
        <noMultiLvlLbl val="0"/>
      </catAx>
      <valAx>
        <axId val="4727352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004286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Unplanned Downtime (hrs)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'KPI Tracker'!$C$4:$N$4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'KPI Tracker'!$C$7:$N$7</f>
              <numCache>
                <formatCode>0.0</formatCode>
                <ptCount val="12"/>
                <pt idx="0">
                  <v>32</v>
                </pt>
                <pt idx="1">
                  <v>30</v>
                </pt>
                <pt idx="2">
                  <v>28</v>
                </pt>
                <pt idx="3">
                  <v>26</v>
                </pt>
                <pt idx="4">
                  <v>25</v>
                </pt>
                <pt idx="5">
                  <v>24</v>
                </pt>
                <pt idx="6">
                  <v>22</v>
                </pt>
                <pt idx="7">
                  <v>21</v>
                </pt>
                <pt idx="8">
                  <v>20</v>
                </pt>
                <pt idx="9">
                  <v>18</v>
                </pt>
                <pt idx="10">
                  <v>17</v>
                </pt>
              </numCache>
            </numRef>
          </val>
        </ser>
        <gapWidth val="150"/>
        <overlap val="0"/>
        <axId val="55066561"/>
        <axId val="9408719"/>
      </barChart>
      <catAx>
        <axId val="5506656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408719"/>
        <crosses val="autoZero"/>
        <auto val="1"/>
        <lblAlgn val="ctr"/>
        <lblOffset val="100"/>
        <noMultiLvlLbl val="0"/>
      </catAx>
      <valAx>
        <axId val="94087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506656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MTBF vs MTTR (hrs)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'KPI Tracker'!$C$4:$N$4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'KPI Tracker'!$C$8:$N$8</f>
              <numCache>
                <formatCode>0.0</formatCode>
                <ptCount val="12"/>
                <pt idx="0">
                  <v>140</v>
                </pt>
                <pt idx="1">
                  <v>150</v>
                </pt>
                <pt idx="2">
                  <v>155</v>
                </pt>
                <pt idx="3">
                  <v>160</v>
                </pt>
                <pt idx="4">
                  <v>165</v>
                </pt>
                <pt idx="5">
                  <v>170</v>
                </pt>
                <pt idx="6">
                  <v>175</v>
                </pt>
                <pt idx="7">
                  <v>180</v>
                </pt>
                <pt idx="8">
                  <v>185</v>
                </pt>
                <pt idx="9">
                  <v>190</v>
                </pt>
                <pt idx="10">
                  <v>195</v>
                </pt>
              </numCache>
            </numRef>
          </val>
          <smooth val="1"/>
        </ser>
        <ser>
          <idx val="1"/>
          <order val="1"/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'KPI Tracker'!$C$4:$N$4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'KPI Tracker'!$C$9:$N$9</f>
              <numCache>
                <formatCode>0.0</formatCode>
                <ptCount val="12"/>
                <pt idx="0">
                  <v>5.2</v>
                </pt>
                <pt idx="1">
                  <v>4.9</v>
                </pt>
                <pt idx="2">
                  <v>4.6</v>
                </pt>
                <pt idx="3">
                  <v>4.3</v>
                </pt>
                <pt idx="4">
                  <v>4.1</v>
                </pt>
                <pt idx="5">
                  <v>3.9</v>
                </pt>
                <pt idx="6">
                  <v>3.7</v>
                </pt>
                <pt idx="7">
                  <v>3.5</v>
                </pt>
                <pt idx="8">
                  <v>3.4</v>
                </pt>
                <pt idx="9">
                  <v>3.2</v>
                </pt>
                <pt idx="10">
                  <v>3.1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6090935"/>
        <axId val="99428558"/>
      </lineChart>
      <catAx>
        <axId val="3609093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9428558"/>
        <crosses val="autoZero"/>
        <auto val="1"/>
        <lblAlgn val="ctr"/>
        <lblOffset val="100"/>
        <noMultiLvlLbl val="0"/>
      </catAx>
      <valAx>
        <axId val="9942855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609093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3.png" Id="rId5"/><Relationship Type="http://schemas.openxmlformats.org/officeDocument/2006/relationships/image" Target="/xl/media/image4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21</row>
      <rowOff>160920</rowOff>
    </from>
    <to>
      <col>6</col>
      <colOff>379800</colOff>
      <row>35</row>
      <rowOff>12960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21</row>
      <rowOff>160920</rowOff>
    </from>
    <to>
      <col>16</col>
      <colOff>2520</colOff>
      <row>35</row>
      <rowOff>12960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37</row>
      <rowOff>160560</rowOff>
    </from>
    <to>
      <col>6</col>
      <colOff>379800</colOff>
      <row>51</row>
      <rowOff>12960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7</col>
      <colOff>0</colOff>
      <row>37</row>
      <rowOff>160560</rowOff>
    </from>
    <to>
      <col>16</col>
      <colOff>2520</colOff>
      <row>51</row>
      <rowOff>12960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oneCellAnchor>
    <from>
      <col>0</col>
      <colOff>0</colOff>
      <row>0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0" min="1" max="1"/>
    <col width="110" customWidth="1" style="20" min="2" max="2"/>
  </cols>
  <sheetData>
    <row r="1" ht="50" customHeight="1" s="21"/>
    <row r="2" ht="19.7" customHeight="1" s="21">
      <c r="B2" s="22" t="inlineStr">
        <is>
          <t>PE-04c: PLANNED MAINTENANCE KPI TREND DASHBOARD</t>
        </is>
      </c>
    </row>
    <row r="3" ht="15" customHeight="1" s="21">
      <c r="B3" s="23" t="inlineStr">
        <is>
          <t>F4N Performance Excellence Toolkit — Planned Maintenance / Machine Availability</t>
        </is>
      </c>
    </row>
    <row r="5" ht="15" customHeight="1" s="21">
      <c r="B5" s="24" t="inlineStr">
        <is>
          <t>Purpose</t>
        </is>
      </c>
    </row>
    <row r="6" ht="45" customHeight="1" s="21">
      <c r="B6" s="25" t="inlineStr">
        <is>
          <t>This dashboard provides a 12-month trend view of the key Planned Maintenance and Machine Availability KPIs, for use in monthly management review and Daily Management System (SQDCP) meetings. It complements the Asset Register &amp; PM Schedule (PE-04b) by summarising performance at site / production area level.</t>
        </is>
      </c>
    </row>
    <row r="8" ht="15" customHeight="1" s="21">
      <c r="B8" s="24" t="inlineStr">
        <is>
          <t>KPIs Tracked</t>
        </is>
      </c>
    </row>
    <row r="10" ht="15" customHeight="1" s="21">
      <c r="B10" s="24" t="inlineStr">
        <is>
          <t>PM Compliance %</t>
        </is>
      </c>
    </row>
    <row r="11" ht="15" customHeight="1" s="21">
      <c r="B11" s="25" t="inlineStr">
        <is>
          <t>Percentage of scheduled planned maintenance tasks completed on time. Target: 95%.</t>
        </is>
      </c>
    </row>
    <row r="13" ht="15" customHeight="1" s="21">
      <c r="B13" s="24" t="inlineStr">
        <is>
          <t>Overall OEE %</t>
        </is>
      </c>
    </row>
    <row r="14" ht="15" customHeight="1" s="21">
      <c r="B14" s="25" t="inlineStr">
        <is>
          <t>Overall Equipment Effectiveness across monitored assets. Target: 85%.</t>
        </is>
      </c>
    </row>
    <row r="16" ht="15" customHeight="1" s="21">
      <c r="B16" s="24" t="inlineStr">
        <is>
          <t>Unplanned Downtime (hrs)</t>
        </is>
      </c>
    </row>
    <row r="17" ht="15" customHeight="1" s="21">
      <c r="B17" s="25" t="inlineStr">
        <is>
          <t>Total hours of unplanned downtime across the month. Target: reduce trend month on month.</t>
        </is>
      </c>
    </row>
    <row r="19" ht="15" customHeight="1" s="21">
      <c r="B19" s="24" t="inlineStr">
        <is>
          <t>MTBF (hrs)</t>
        </is>
      </c>
    </row>
    <row r="20" ht="15" customHeight="1" s="21">
      <c r="B20" s="25" t="inlineStr">
        <is>
          <t>Mean Time Between Failures. Target: increasing trend.</t>
        </is>
      </c>
    </row>
    <row r="22" ht="15" customHeight="1" s="21">
      <c r="B22" s="24" t="inlineStr">
        <is>
          <t>MTTR (hrs)</t>
        </is>
      </c>
    </row>
    <row r="23" ht="15" customHeight="1" s="21">
      <c r="B23" s="25" t="inlineStr">
        <is>
          <t>Mean Time To Repair. Target: decreasing trend.</t>
        </is>
      </c>
    </row>
    <row r="25" ht="15" customHeight="1" s="21">
      <c r="B25" s="24" t="inlineStr">
        <is>
          <t>Breakdown Cost (£)</t>
        </is>
      </c>
    </row>
    <row r="26" ht="15" customHeight="1" s="21">
      <c r="B26" s="25" t="inlineStr">
        <is>
          <t>Cost of reactive repairs (parts + labour + lost production where known).</t>
        </is>
      </c>
    </row>
    <row r="28" ht="15" customHeight="1" s="21">
      <c r="B28" s="24" t="inlineStr">
        <is>
          <t>How to use</t>
        </is>
      </c>
    </row>
    <row r="29" ht="45" customHeight="1" s="21">
      <c r="B29" s="25" t="inlineStr">
        <is>
          <t>Enter actual monthly figures in the KPI Tracker sheet (yellow cells). Targets are pre-set but can be adjusted. RAG status and trend charts update automatically. Use the Action Log to record improvement actions arising from monthly review.</t>
        </is>
      </c>
    </row>
    <row r="31" ht="15" customHeight="1" s="21">
      <c r="B31" s="24" t="inlineStr">
        <is>
          <t>Evidence for F4N Assessment</t>
        </is>
      </c>
    </row>
    <row r="32" ht="45" customHeight="1" s="21">
      <c r="B32" s="25" t="inlineStr">
        <is>
          <t>This dashboard provides direct evidence of a comprehensive maintenance programme with preventive elements optimising equipment performance, supporting a higher maturity score for Planned Maintenance / Machine Availability within the F4N Business Excellence assessment.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N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20" min="1" max="1"/>
    <col width="9" customWidth="1" style="20" min="2" max="2"/>
    <col width="7" customWidth="1" style="20" min="3" max="14"/>
  </cols>
  <sheetData>
    <row r="1" ht="50" customHeight="1" s="21">
      <c r="A1" s="26" t="inlineStr">
        <is>
          <t>MAINTENANCE KPI TRACKER - 12 MONTH TREND</t>
        </is>
      </c>
    </row>
    <row r="2" ht="15" customHeight="1" s="21">
      <c r="A2" s="28" t="inlineStr">
        <is>
          <t>Enter monthly actuals (yellow). RAG status compares actual to target automatically.</t>
        </is>
      </c>
    </row>
    <row r="4" ht="15" customHeight="1" s="21">
      <c r="A4" s="29" t="inlineStr">
        <is>
          <t>KPI</t>
        </is>
      </c>
      <c r="B4" s="29" t="inlineStr">
        <is>
          <t>Target</t>
        </is>
      </c>
      <c r="C4" s="29" t="inlineStr">
        <is>
          <t>Jan</t>
        </is>
      </c>
      <c r="D4" s="29" t="inlineStr">
        <is>
          <t>Feb</t>
        </is>
      </c>
      <c r="E4" s="29" t="inlineStr">
        <is>
          <t>Mar</t>
        </is>
      </c>
      <c r="F4" s="29" t="inlineStr">
        <is>
          <t>Apr</t>
        </is>
      </c>
      <c r="G4" s="29" t="inlineStr">
        <is>
          <t>May</t>
        </is>
      </c>
      <c r="H4" s="29" t="inlineStr">
        <is>
          <t>Jun</t>
        </is>
      </c>
      <c r="I4" s="29" t="inlineStr">
        <is>
          <t>Jul</t>
        </is>
      </c>
      <c r="J4" s="29" t="inlineStr">
        <is>
          <t>Aug</t>
        </is>
      </c>
      <c r="K4" s="29" t="inlineStr">
        <is>
          <t>Sep</t>
        </is>
      </c>
      <c r="L4" s="29" t="inlineStr">
        <is>
          <t>Oct</t>
        </is>
      </c>
      <c r="M4" s="29" t="inlineStr">
        <is>
          <t>Nov</t>
        </is>
      </c>
      <c r="N4" s="29" t="inlineStr">
        <is>
          <t>Dec</t>
        </is>
      </c>
    </row>
    <row r="5" ht="15" customHeight="1" s="21">
      <c r="A5" s="30" t="inlineStr">
        <is>
          <t>PM Compliance %</t>
        </is>
      </c>
      <c r="B5" s="31" t="n">
        <v>0.95</v>
      </c>
      <c r="C5" s="32" t="n">
        <v>0.88</v>
      </c>
      <c r="D5" s="32" t="n">
        <v>0.9</v>
      </c>
      <c r="E5" s="32" t="n">
        <v>0.91</v>
      </c>
      <c r="F5" s="32" t="n">
        <v>0.93</v>
      </c>
      <c r="G5" s="32" t="n">
        <v>0.92</v>
      </c>
      <c r="H5" s="32" t="n">
        <v>0.9399999999999999</v>
      </c>
      <c r="I5" s="32" t="n">
        <v>0.95</v>
      </c>
      <c r="J5" s="32" t="n">
        <v>0.96</v>
      </c>
      <c r="K5" s="32" t="n">
        <v>0.9399999999999999</v>
      </c>
      <c r="L5" s="32" t="n">
        <v>0.97</v>
      </c>
      <c r="M5" s="32" t="n">
        <v>0.95</v>
      </c>
      <c r="N5" s="32" t="n"/>
    </row>
    <row r="6" ht="15" customHeight="1" s="21">
      <c r="A6" s="30" t="inlineStr">
        <is>
          <t>Overall OEE %</t>
        </is>
      </c>
      <c r="B6" s="31" t="n">
        <v>0.85</v>
      </c>
      <c r="C6" s="32" t="n">
        <v>0.74</v>
      </c>
      <c r="D6" s="32" t="n">
        <v>0.76</v>
      </c>
      <c r="E6" s="32" t="n">
        <v>0.78</v>
      </c>
      <c r="F6" s="32" t="n">
        <v>0.79</v>
      </c>
      <c r="G6" s="32" t="n">
        <v>0.8</v>
      </c>
      <c r="H6" s="32" t="n">
        <v>0.8100000000000001</v>
      </c>
      <c r="I6" s="32" t="n">
        <v>0.82</v>
      </c>
      <c r="J6" s="32" t="n">
        <v>0.83</v>
      </c>
      <c r="K6" s="32" t="n">
        <v>0.84</v>
      </c>
      <c r="L6" s="32" t="n">
        <v>0.85</v>
      </c>
      <c r="M6" s="32" t="n">
        <v>0.86</v>
      </c>
      <c r="N6" s="32" t="n"/>
    </row>
    <row r="7" ht="15" customHeight="1" s="21">
      <c r="A7" s="30" t="inlineStr">
        <is>
          <t>Unplanned Downtime (hrs)</t>
        </is>
      </c>
      <c r="B7" s="33" t="n">
        <v>20</v>
      </c>
      <c r="C7" s="34" t="n">
        <v>32</v>
      </c>
      <c r="D7" s="34" t="n">
        <v>30</v>
      </c>
      <c r="E7" s="34" t="n">
        <v>28</v>
      </c>
      <c r="F7" s="34" t="n">
        <v>26</v>
      </c>
      <c r="G7" s="34" t="n">
        <v>25</v>
      </c>
      <c r="H7" s="34" t="n">
        <v>24</v>
      </c>
      <c r="I7" s="34" t="n">
        <v>22</v>
      </c>
      <c r="J7" s="34" t="n">
        <v>21</v>
      </c>
      <c r="K7" s="34" t="n">
        <v>20</v>
      </c>
      <c r="L7" s="34" t="n">
        <v>18</v>
      </c>
      <c r="M7" s="34" t="n">
        <v>17</v>
      </c>
      <c r="N7" s="34" t="n"/>
    </row>
    <row r="8" ht="15" customHeight="1" s="21">
      <c r="A8" s="30" t="inlineStr">
        <is>
          <t>MTBF (hrs)</t>
        </is>
      </c>
      <c r="B8" s="33" t="n">
        <v>200</v>
      </c>
      <c r="C8" s="34" t="n">
        <v>140</v>
      </c>
      <c r="D8" s="34" t="n">
        <v>150</v>
      </c>
      <c r="E8" s="34" t="n">
        <v>155</v>
      </c>
      <c r="F8" s="34" t="n">
        <v>160</v>
      </c>
      <c r="G8" s="34" t="n">
        <v>165</v>
      </c>
      <c r="H8" s="34" t="n">
        <v>170</v>
      </c>
      <c r="I8" s="34" t="n">
        <v>175</v>
      </c>
      <c r="J8" s="34" t="n">
        <v>180</v>
      </c>
      <c r="K8" s="34" t="n">
        <v>185</v>
      </c>
      <c r="L8" s="34" t="n">
        <v>190</v>
      </c>
      <c r="M8" s="34" t="n">
        <v>195</v>
      </c>
      <c r="N8" s="34" t="n"/>
    </row>
    <row r="9" ht="15" customHeight="1" s="21">
      <c r="A9" s="30" t="inlineStr">
        <is>
          <t>MTTR (hrs)</t>
        </is>
      </c>
      <c r="B9" s="33" t="n">
        <v>3</v>
      </c>
      <c r="C9" s="34" t="n">
        <v>5.2</v>
      </c>
      <c r="D9" s="34" t="n">
        <v>4.9</v>
      </c>
      <c r="E9" s="34" t="n">
        <v>4.6</v>
      </c>
      <c r="F9" s="34" t="n">
        <v>4.3</v>
      </c>
      <c r="G9" s="34" t="n">
        <v>4.1</v>
      </c>
      <c r="H9" s="34" t="n">
        <v>3.9</v>
      </c>
      <c r="I9" s="34" t="n">
        <v>3.7</v>
      </c>
      <c r="J9" s="34" t="n">
        <v>3.5</v>
      </c>
      <c r="K9" s="34" t="n">
        <v>3.4</v>
      </c>
      <c r="L9" s="34" t="n">
        <v>3.2</v>
      </c>
      <c r="M9" s="34" t="n">
        <v>3.1</v>
      </c>
      <c r="N9" s="34" t="n"/>
    </row>
    <row r="10" ht="15" customHeight="1" s="21">
      <c r="A10" s="30" t="inlineStr">
        <is>
          <t>Breakdown Cost (£)</t>
        </is>
      </c>
      <c r="B10" s="33" t="n">
        <v>2000</v>
      </c>
      <c r="C10" s="34" t="n">
        <v>4200</v>
      </c>
      <c r="D10" s="34" t="n">
        <v>3900</v>
      </c>
      <c r="E10" s="34" t="n">
        <v>3600</v>
      </c>
      <c r="F10" s="34" t="n">
        <v>3300</v>
      </c>
      <c r="G10" s="34" t="n">
        <v>3000</v>
      </c>
      <c r="H10" s="34" t="n">
        <v>2900</v>
      </c>
      <c r="I10" s="34" t="n">
        <v>2700</v>
      </c>
      <c r="J10" s="34" t="n">
        <v>2500</v>
      </c>
      <c r="K10" s="34" t="n">
        <v>2300</v>
      </c>
      <c r="L10" s="34" t="n">
        <v>2200</v>
      </c>
      <c r="M10" s="34" t="n">
        <v>2100</v>
      </c>
      <c r="N10" s="34" t="n"/>
    </row>
    <row r="13" ht="15" customHeight="1" s="21">
      <c r="A13" s="35" t="inlineStr">
        <is>
          <t>RAG STATUS (G = on target, A = within 10% of target, R = off target)</t>
        </is>
      </c>
    </row>
    <row r="14" ht="15" customHeight="1" s="21">
      <c r="A14" s="29" t="inlineStr">
        <is>
          <t>KPI</t>
        </is>
      </c>
      <c r="B14" s="29" t="inlineStr">
        <is>
          <t>Target</t>
        </is>
      </c>
      <c r="C14" s="29" t="inlineStr">
        <is>
          <t>Jan</t>
        </is>
      </c>
      <c r="D14" s="29" t="inlineStr">
        <is>
          <t>Feb</t>
        </is>
      </c>
      <c r="E14" s="29" t="inlineStr">
        <is>
          <t>Mar</t>
        </is>
      </c>
      <c r="F14" s="29" t="inlineStr">
        <is>
          <t>Apr</t>
        </is>
      </c>
      <c r="G14" s="29" t="inlineStr">
        <is>
          <t>May</t>
        </is>
      </c>
      <c r="H14" s="29" t="inlineStr">
        <is>
          <t>Jun</t>
        </is>
      </c>
      <c r="I14" s="29" t="inlineStr">
        <is>
          <t>Jul</t>
        </is>
      </c>
      <c r="J14" s="29" t="inlineStr">
        <is>
          <t>Aug</t>
        </is>
      </c>
      <c r="K14" s="29" t="inlineStr">
        <is>
          <t>Sep</t>
        </is>
      </c>
      <c r="L14" s="29" t="inlineStr">
        <is>
          <t>Oct</t>
        </is>
      </c>
      <c r="M14" s="29" t="inlineStr">
        <is>
          <t>Nov</t>
        </is>
      </c>
      <c r="N14" s="29" t="inlineStr">
        <is>
          <t>Dec</t>
        </is>
      </c>
    </row>
    <row r="15" ht="15" customHeight="1" s="21">
      <c r="A15" s="36">
        <f>A5</f>
        <v/>
      </c>
      <c r="B15" s="31">
        <f>B5</f>
        <v/>
      </c>
      <c r="C15" s="37">
        <f>IF(C5="","",IF(C5&gt;=$B15,"G",IF(C5&gt;=$B15*0.9,"A","R")))</f>
        <v/>
      </c>
      <c r="D15" s="37">
        <f>IF(D5="","",IF(D5&gt;=$B15,"G",IF(D5&gt;=$B15*0.9,"A","R")))</f>
        <v/>
      </c>
      <c r="E15" s="37">
        <f>IF(E5="","",IF(E5&gt;=$B15,"G",IF(E5&gt;=$B15*0.9,"A","R")))</f>
        <v/>
      </c>
      <c r="F15" s="37">
        <f>IF(F5="","",IF(F5&gt;=$B15,"G",IF(F5&gt;=$B15*0.9,"A","R")))</f>
        <v/>
      </c>
      <c r="G15" s="37">
        <f>IF(G5="","",IF(G5&gt;=$B15,"G",IF(G5&gt;=$B15*0.9,"A","R")))</f>
        <v/>
      </c>
      <c r="H15" s="37">
        <f>IF(H5="","",IF(H5&gt;=$B15,"G",IF(H5&gt;=$B15*0.9,"A","R")))</f>
        <v/>
      </c>
      <c r="I15" s="37">
        <f>IF(I5="","",IF(I5&gt;=$B15,"G",IF(I5&gt;=$B15*0.9,"A","R")))</f>
        <v/>
      </c>
      <c r="J15" s="37">
        <f>IF(J5="","",IF(J5&gt;=$B15,"G",IF(J5&gt;=$B15*0.9,"A","R")))</f>
        <v/>
      </c>
      <c r="K15" s="37">
        <f>IF(K5="","",IF(K5&gt;=$B15,"G",IF(K5&gt;=$B15*0.9,"A","R")))</f>
        <v/>
      </c>
      <c r="L15" s="37">
        <f>IF(L5="","",IF(L5&gt;=$B15,"G",IF(L5&gt;=$B15*0.9,"A","R")))</f>
        <v/>
      </c>
      <c r="M15" s="37">
        <f>IF(M5="","",IF(M5&gt;=$B15,"G",IF(M5&gt;=$B15*0.9,"A","R")))</f>
        <v/>
      </c>
      <c r="N15" s="37">
        <f>IF(N5="","",IF(N5&gt;=$B15,"G",IF(N5&gt;=$B15*0.9,"A","R")))</f>
        <v/>
      </c>
    </row>
    <row r="16" ht="15" customHeight="1" s="21">
      <c r="A16" s="36">
        <f>A6</f>
        <v/>
      </c>
      <c r="B16" s="31">
        <f>B6</f>
        <v/>
      </c>
      <c r="C16" s="37">
        <f>IF(C6="","",IF(C6&gt;=$B16,"G",IF(C6&gt;=$B16*0.9,"A","R")))</f>
        <v/>
      </c>
      <c r="D16" s="37">
        <f>IF(D6="","",IF(D6&gt;=$B16,"G",IF(D6&gt;=$B16*0.9,"A","R")))</f>
        <v/>
      </c>
      <c r="E16" s="37">
        <f>IF(E6="","",IF(E6&gt;=$B16,"G",IF(E6&gt;=$B16*0.9,"A","R")))</f>
        <v/>
      </c>
      <c r="F16" s="37">
        <f>IF(F6="","",IF(F6&gt;=$B16,"G",IF(F6&gt;=$B16*0.9,"A","R")))</f>
        <v/>
      </c>
      <c r="G16" s="37">
        <f>IF(G6="","",IF(G6&gt;=$B16,"G",IF(G6&gt;=$B16*0.9,"A","R")))</f>
        <v/>
      </c>
      <c r="H16" s="37">
        <f>IF(H6="","",IF(H6&gt;=$B16,"G",IF(H6&gt;=$B16*0.9,"A","R")))</f>
        <v/>
      </c>
      <c r="I16" s="37">
        <f>IF(I6="","",IF(I6&gt;=$B16,"G",IF(I6&gt;=$B16*0.9,"A","R")))</f>
        <v/>
      </c>
      <c r="J16" s="37">
        <f>IF(J6="","",IF(J6&gt;=$B16,"G",IF(J6&gt;=$B16*0.9,"A","R")))</f>
        <v/>
      </c>
      <c r="K16" s="37">
        <f>IF(K6="","",IF(K6&gt;=$B16,"G",IF(K6&gt;=$B16*0.9,"A","R")))</f>
        <v/>
      </c>
      <c r="L16" s="37">
        <f>IF(L6="","",IF(L6&gt;=$B16,"G",IF(L6&gt;=$B16*0.9,"A","R")))</f>
        <v/>
      </c>
      <c r="M16" s="37">
        <f>IF(M6="","",IF(M6&gt;=$B16,"G",IF(M6&gt;=$B16*0.9,"A","R")))</f>
        <v/>
      </c>
      <c r="N16" s="37">
        <f>IF(N6="","",IF(N6&gt;=$B16,"G",IF(N6&gt;=$B16*0.9,"A","R")))</f>
        <v/>
      </c>
    </row>
    <row r="17" ht="15" customHeight="1" s="21">
      <c r="A17" s="36">
        <f>A7</f>
        <v/>
      </c>
      <c r="B17" s="33">
        <f>B7</f>
        <v/>
      </c>
      <c r="C17" s="37">
        <f>IF(C7="","",IF(C7&lt;=$B17,"G",IF(C7&lt;=$B17*1.1,"A","R")))</f>
        <v/>
      </c>
      <c r="D17" s="37">
        <f>IF(D7="","",IF(D7&lt;=$B17,"G",IF(D7&lt;=$B17*1.1,"A","R")))</f>
        <v/>
      </c>
      <c r="E17" s="37">
        <f>IF(E7="","",IF(E7&lt;=$B17,"G",IF(E7&lt;=$B17*1.1,"A","R")))</f>
        <v/>
      </c>
      <c r="F17" s="37">
        <f>IF(F7="","",IF(F7&lt;=$B17,"G",IF(F7&lt;=$B17*1.1,"A","R")))</f>
        <v/>
      </c>
      <c r="G17" s="37">
        <f>IF(G7="","",IF(G7&lt;=$B17,"G",IF(G7&lt;=$B17*1.1,"A","R")))</f>
        <v/>
      </c>
      <c r="H17" s="37">
        <f>IF(H7="","",IF(H7&lt;=$B17,"G",IF(H7&lt;=$B17*1.1,"A","R")))</f>
        <v/>
      </c>
      <c r="I17" s="37">
        <f>IF(I7="","",IF(I7&lt;=$B17,"G",IF(I7&lt;=$B17*1.1,"A","R")))</f>
        <v/>
      </c>
      <c r="J17" s="37">
        <f>IF(J7="","",IF(J7&lt;=$B17,"G",IF(J7&lt;=$B17*1.1,"A","R")))</f>
        <v/>
      </c>
      <c r="K17" s="37">
        <f>IF(K7="","",IF(K7&lt;=$B17,"G",IF(K7&lt;=$B17*1.1,"A","R")))</f>
        <v/>
      </c>
      <c r="L17" s="37">
        <f>IF(L7="","",IF(L7&lt;=$B17,"G",IF(L7&lt;=$B17*1.1,"A","R")))</f>
        <v/>
      </c>
      <c r="M17" s="37">
        <f>IF(M7="","",IF(M7&lt;=$B17,"G",IF(M7&lt;=$B17*1.1,"A","R")))</f>
        <v/>
      </c>
      <c r="N17" s="37">
        <f>IF(N7="","",IF(N7&lt;=$B17,"G",IF(N7&lt;=$B17*1.1,"A","R")))</f>
        <v/>
      </c>
    </row>
    <row r="18" ht="15" customHeight="1" s="21">
      <c r="A18" s="36">
        <f>A8</f>
        <v/>
      </c>
      <c r="B18" s="33">
        <f>B8</f>
        <v/>
      </c>
      <c r="C18" s="37">
        <f>IF(C8="","",IF(C8&gt;=$B18,"G",IF(C8&gt;=$B18*0.9,"A","R")))</f>
        <v/>
      </c>
      <c r="D18" s="37">
        <f>IF(D8="","",IF(D8&gt;=$B18,"G",IF(D8&gt;=$B18*0.9,"A","R")))</f>
        <v/>
      </c>
      <c r="E18" s="37">
        <f>IF(E8="","",IF(E8&gt;=$B18,"G",IF(E8&gt;=$B18*0.9,"A","R")))</f>
        <v/>
      </c>
      <c r="F18" s="37">
        <f>IF(F8="","",IF(F8&gt;=$B18,"G",IF(F8&gt;=$B18*0.9,"A","R")))</f>
        <v/>
      </c>
      <c r="G18" s="37">
        <f>IF(G8="","",IF(G8&gt;=$B18,"G",IF(G8&gt;=$B18*0.9,"A","R")))</f>
        <v/>
      </c>
      <c r="H18" s="37">
        <f>IF(H8="","",IF(H8&gt;=$B18,"G",IF(H8&gt;=$B18*0.9,"A","R")))</f>
        <v/>
      </c>
      <c r="I18" s="37">
        <f>IF(I8="","",IF(I8&gt;=$B18,"G",IF(I8&gt;=$B18*0.9,"A","R")))</f>
        <v/>
      </c>
      <c r="J18" s="37">
        <f>IF(J8="","",IF(J8&gt;=$B18,"G",IF(J8&gt;=$B18*0.9,"A","R")))</f>
        <v/>
      </c>
      <c r="K18" s="37">
        <f>IF(K8="","",IF(K8&gt;=$B18,"G",IF(K8&gt;=$B18*0.9,"A","R")))</f>
        <v/>
      </c>
      <c r="L18" s="37">
        <f>IF(L8="","",IF(L8&gt;=$B18,"G",IF(L8&gt;=$B18*0.9,"A","R")))</f>
        <v/>
      </c>
      <c r="M18" s="37">
        <f>IF(M8="","",IF(M8&gt;=$B18,"G",IF(M8&gt;=$B18*0.9,"A","R")))</f>
        <v/>
      </c>
      <c r="N18" s="37">
        <f>IF(N8="","",IF(N8&gt;=$B18,"G",IF(N8&gt;=$B18*0.9,"A","R")))</f>
        <v/>
      </c>
    </row>
    <row r="19" ht="15" customHeight="1" s="21">
      <c r="A19" s="36">
        <f>A9</f>
        <v/>
      </c>
      <c r="B19" s="33">
        <f>B9</f>
        <v/>
      </c>
      <c r="C19" s="37">
        <f>IF(C9="","",IF(C9&lt;=$B19,"G",IF(C9&lt;=$B19*1.1,"A","R")))</f>
        <v/>
      </c>
      <c r="D19" s="37">
        <f>IF(D9="","",IF(D9&lt;=$B19,"G",IF(D9&lt;=$B19*1.1,"A","R")))</f>
        <v/>
      </c>
      <c r="E19" s="37">
        <f>IF(E9="","",IF(E9&lt;=$B19,"G",IF(E9&lt;=$B19*1.1,"A","R")))</f>
        <v/>
      </c>
      <c r="F19" s="37">
        <f>IF(F9="","",IF(F9&lt;=$B19,"G",IF(F9&lt;=$B19*1.1,"A","R")))</f>
        <v/>
      </c>
      <c r="G19" s="37">
        <f>IF(G9="","",IF(G9&lt;=$B19,"G",IF(G9&lt;=$B19*1.1,"A","R")))</f>
        <v/>
      </c>
      <c r="H19" s="37">
        <f>IF(H9="","",IF(H9&lt;=$B19,"G",IF(H9&lt;=$B19*1.1,"A","R")))</f>
        <v/>
      </c>
      <c r="I19" s="37">
        <f>IF(I9="","",IF(I9&lt;=$B19,"G",IF(I9&lt;=$B19*1.1,"A","R")))</f>
        <v/>
      </c>
      <c r="J19" s="37">
        <f>IF(J9="","",IF(J9&lt;=$B19,"G",IF(J9&lt;=$B19*1.1,"A","R")))</f>
        <v/>
      </c>
      <c r="K19" s="37">
        <f>IF(K9="","",IF(K9&lt;=$B19,"G",IF(K9&lt;=$B19*1.1,"A","R")))</f>
        <v/>
      </c>
      <c r="L19" s="37">
        <f>IF(L9="","",IF(L9&lt;=$B19,"G",IF(L9&lt;=$B19*1.1,"A","R")))</f>
        <v/>
      </c>
      <c r="M19" s="37">
        <f>IF(M9="","",IF(M9&lt;=$B19,"G",IF(M9&lt;=$B19*1.1,"A","R")))</f>
        <v/>
      </c>
      <c r="N19" s="37">
        <f>IF(N9="","",IF(N9&lt;=$B19,"G",IF(N9&lt;=$B19*1.1,"A","R")))</f>
        <v/>
      </c>
    </row>
    <row r="20" ht="15" customHeight="1" s="21">
      <c r="A20" s="36">
        <f>A10</f>
        <v/>
      </c>
      <c r="B20" s="33">
        <f>B10</f>
        <v/>
      </c>
      <c r="C20" s="37">
        <f>IF(C10="","",IF(C10&lt;=$B20,"G",IF(C10&lt;=$B20*1.1,"A","R")))</f>
        <v/>
      </c>
      <c r="D20" s="37">
        <f>IF(D10="","",IF(D10&lt;=$B20,"G",IF(D10&lt;=$B20*1.1,"A","R")))</f>
        <v/>
      </c>
      <c r="E20" s="37">
        <f>IF(E10="","",IF(E10&lt;=$B20,"G",IF(E10&lt;=$B20*1.1,"A","R")))</f>
        <v/>
      </c>
      <c r="F20" s="37">
        <f>IF(F10="","",IF(F10&lt;=$B20,"G",IF(F10&lt;=$B20*1.1,"A","R")))</f>
        <v/>
      </c>
      <c r="G20" s="37">
        <f>IF(G10="","",IF(G10&lt;=$B20,"G",IF(G10&lt;=$B20*1.1,"A","R")))</f>
        <v/>
      </c>
      <c r="H20" s="37">
        <f>IF(H10="","",IF(H10&lt;=$B20,"G",IF(H10&lt;=$B20*1.1,"A","R")))</f>
        <v/>
      </c>
      <c r="I20" s="37">
        <f>IF(I10="","",IF(I10&lt;=$B20,"G",IF(I10&lt;=$B20*1.1,"A","R")))</f>
        <v/>
      </c>
      <c r="J20" s="37">
        <f>IF(J10="","",IF(J10&lt;=$B20,"G",IF(J10&lt;=$B20*1.1,"A","R")))</f>
        <v/>
      </c>
      <c r="K20" s="37">
        <f>IF(K10="","",IF(K10&lt;=$B20,"G",IF(K10&lt;=$B20*1.1,"A","R")))</f>
        <v/>
      </c>
      <c r="L20" s="37">
        <f>IF(L10="","",IF(L10&lt;=$B20,"G",IF(L10&lt;=$B20*1.1,"A","R")))</f>
        <v/>
      </c>
      <c r="M20" s="37">
        <f>IF(M10="","",IF(M10&lt;=$B20,"G",IF(M10&lt;=$B20*1.1,"A","R")))</f>
        <v/>
      </c>
      <c r="N20" s="37">
        <f>IF(N10="","",IF(N10&lt;=$B20,"G",IF(N10&lt;=$B20*1.1,"A","R")))</f>
        <v/>
      </c>
    </row>
  </sheetData>
  <mergeCells count="3">
    <mergeCell ref="A13:N13"/>
    <mergeCell ref="A2:N2"/>
    <mergeCell ref="A1:N1"/>
  </mergeCells>
  <conditionalFormatting sqref="C15:C20">
    <cfRule type="expression" rank="0" priority="2" equalAverage="0" aboveAverage="0" dxfId="0" text="" percent="0" bottom="0">
      <formula>C15="G"</formula>
    </cfRule>
    <cfRule type="expression" rank="0" priority="3" equalAverage="0" aboveAverage="0" dxfId="1" text="" percent="0" bottom="0">
      <formula>C15="A"</formula>
    </cfRule>
    <cfRule type="expression" rank="0" priority="4" equalAverage="0" aboveAverage="0" dxfId="2" text="" percent="0" bottom="0">
      <formula>C15="R"</formula>
    </cfRule>
  </conditionalFormatting>
  <conditionalFormatting sqref="D15:D20">
    <cfRule type="expression" rank="0" priority="5" equalAverage="0" aboveAverage="0" dxfId="0" text="" percent="0" bottom="0">
      <formula>D15="G"</formula>
    </cfRule>
    <cfRule type="expression" rank="0" priority="6" equalAverage="0" aboveAverage="0" dxfId="1" text="" percent="0" bottom="0">
      <formula>D15="A"</formula>
    </cfRule>
    <cfRule type="expression" rank="0" priority="7" equalAverage="0" aboveAverage="0" dxfId="2" text="" percent="0" bottom="0">
      <formula>D15="R"</formula>
    </cfRule>
  </conditionalFormatting>
  <conditionalFormatting sqref="E15:E20">
    <cfRule type="expression" rank="0" priority="8" equalAverage="0" aboveAverage="0" dxfId="0" text="" percent="0" bottom="0">
      <formula>E15="G"</formula>
    </cfRule>
    <cfRule type="expression" rank="0" priority="9" equalAverage="0" aboveAverage="0" dxfId="1" text="" percent="0" bottom="0">
      <formula>E15="A"</formula>
    </cfRule>
    <cfRule type="expression" rank="0" priority="10" equalAverage="0" aboveAverage="0" dxfId="2" text="" percent="0" bottom="0">
      <formula>E15="R"</formula>
    </cfRule>
  </conditionalFormatting>
  <conditionalFormatting sqref="F15:F20">
    <cfRule type="expression" rank="0" priority="11" equalAverage="0" aboveAverage="0" dxfId="0" text="" percent="0" bottom="0">
      <formula>F15="G"</formula>
    </cfRule>
    <cfRule type="expression" rank="0" priority="12" equalAverage="0" aboveAverage="0" dxfId="1" text="" percent="0" bottom="0">
      <formula>F15="A"</formula>
    </cfRule>
    <cfRule type="expression" rank="0" priority="13" equalAverage="0" aboveAverage="0" dxfId="2" text="" percent="0" bottom="0">
      <formula>F15="R"</formula>
    </cfRule>
  </conditionalFormatting>
  <conditionalFormatting sqref="G15:G20">
    <cfRule type="expression" rank="0" priority="14" equalAverage="0" aboveAverage="0" dxfId="0" text="" percent="0" bottom="0">
      <formula>G15="G"</formula>
    </cfRule>
    <cfRule type="expression" rank="0" priority="15" equalAverage="0" aboveAverage="0" dxfId="1" text="" percent="0" bottom="0">
      <formula>G15="A"</formula>
    </cfRule>
    <cfRule type="expression" rank="0" priority="16" equalAverage="0" aboveAverage="0" dxfId="2" text="" percent="0" bottom="0">
      <formula>G15="R"</formula>
    </cfRule>
  </conditionalFormatting>
  <conditionalFormatting sqref="H15:H20">
    <cfRule type="expression" rank="0" priority="17" equalAverage="0" aboveAverage="0" dxfId="0" text="" percent="0" bottom="0">
      <formula>H15="G"</formula>
    </cfRule>
    <cfRule type="expression" rank="0" priority="18" equalAverage="0" aboveAverage="0" dxfId="1" text="" percent="0" bottom="0">
      <formula>H15="A"</formula>
    </cfRule>
    <cfRule type="expression" rank="0" priority="19" equalAverage="0" aboveAverage="0" dxfId="2" text="" percent="0" bottom="0">
      <formula>H15="R"</formula>
    </cfRule>
  </conditionalFormatting>
  <conditionalFormatting sqref="I15:I20">
    <cfRule type="expression" rank="0" priority="20" equalAverage="0" aboveAverage="0" dxfId="0" text="" percent="0" bottom="0">
      <formula>I15="G"</formula>
    </cfRule>
    <cfRule type="expression" rank="0" priority="21" equalAverage="0" aboveAverage="0" dxfId="1" text="" percent="0" bottom="0">
      <formula>I15="A"</formula>
    </cfRule>
    <cfRule type="expression" rank="0" priority="22" equalAverage="0" aboveAverage="0" dxfId="2" text="" percent="0" bottom="0">
      <formula>I15="R"</formula>
    </cfRule>
  </conditionalFormatting>
  <conditionalFormatting sqref="J15:J20">
    <cfRule type="expression" rank="0" priority="23" equalAverage="0" aboveAverage="0" dxfId="0" text="" percent="0" bottom="0">
      <formula>J15="G"</formula>
    </cfRule>
    <cfRule type="expression" rank="0" priority="24" equalAverage="0" aboveAverage="0" dxfId="1" text="" percent="0" bottom="0">
      <formula>J15="A"</formula>
    </cfRule>
    <cfRule type="expression" rank="0" priority="25" equalAverage="0" aboveAverage="0" dxfId="2" text="" percent="0" bottom="0">
      <formula>J15="R"</formula>
    </cfRule>
  </conditionalFormatting>
  <conditionalFormatting sqref="K15:K20">
    <cfRule type="expression" rank="0" priority="26" equalAverage="0" aboveAverage="0" dxfId="0" text="" percent="0" bottom="0">
      <formula>K15="G"</formula>
    </cfRule>
    <cfRule type="expression" rank="0" priority="27" equalAverage="0" aboveAverage="0" dxfId="1" text="" percent="0" bottom="0">
      <formula>K15="A"</formula>
    </cfRule>
    <cfRule type="expression" rank="0" priority="28" equalAverage="0" aboveAverage="0" dxfId="2" text="" percent="0" bottom="0">
      <formula>K15="R"</formula>
    </cfRule>
  </conditionalFormatting>
  <conditionalFormatting sqref="L15:L20">
    <cfRule type="expression" rank="0" priority="29" equalAverage="0" aboveAverage="0" dxfId="0" text="" percent="0" bottom="0">
      <formula>L15="G"</formula>
    </cfRule>
    <cfRule type="expression" rank="0" priority="30" equalAverage="0" aboveAverage="0" dxfId="1" text="" percent="0" bottom="0">
      <formula>L15="A"</formula>
    </cfRule>
    <cfRule type="expression" rank="0" priority="31" equalAverage="0" aboveAverage="0" dxfId="2" text="" percent="0" bottom="0">
      <formula>L15="R"</formula>
    </cfRule>
  </conditionalFormatting>
  <conditionalFormatting sqref="M15:M20">
    <cfRule type="expression" rank="0" priority="32" equalAverage="0" aboveAverage="0" dxfId="0" text="" percent="0" bottom="0">
      <formula>M15="G"</formula>
    </cfRule>
    <cfRule type="expression" rank="0" priority="33" equalAverage="0" aboveAverage="0" dxfId="1" text="" percent="0" bottom="0">
      <formula>M15="A"</formula>
    </cfRule>
    <cfRule type="expression" rank="0" priority="34" equalAverage="0" aboveAverage="0" dxfId="2" text="" percent="0" bottom="0">
      <formula>M15="R"</formula>
    </cfRule>
  </conditionalFormatting>
  <conditionalFormatting sqref="N15:N20">
    <cfRule type="expression" rank="0" priority="35" equalAverage="0" aboveAverage="0" dxfId="0" text="" percent="0" bottom="0">
      <formula>N15="G"</formula>
    </cfRule>
    <cfRule type="expression" rank="0" priority="36" equalAverage="0" aboveAverage="0" dxfId="1" text="" percent="0" bottom="0">
      <formula>N15="A"</formula>
    </cfRule>
    <cfRule type="expression" rank="0" priority="37" equalAverage="0" aboveAverage="0" dxfId="2" text="" percent="0" bottom="0">
      <formula>N15="R"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12" customWidth="1" style="20" min="2" max="2"/>
    <col width="28" customWidth="1" style="20" min="3" max="4"/>
    <col width="14" customWidth="1" style="20" min="5" max="5"/>
    <col width="12" customWidth="1" style="20" min="6" max="7"/>
    <col width="28" customWidth="1" style="20" min="8" max="8"/>
  </cols>
  <sheetData>
    <row r="1" ht="50" customHeight="1" s="21">
      <c r="A1" s="26" t="inlineStr">
        <is>
          <t>MAINTENANCE IMPROVEMENT ACTION LOG</t>
        </is>
      </c>
    </row>
    <row r="2" ht="15" customHeight="1" s="21">
      <c r="A2" s="28" t="inlineStr">
        <is>
          <t>Record actions arising from monthly KPI review and breakdown analysis.</t>
        </is>
      </c>
    </row>
    <row r="4" ht="15" customHeight="1" s="21">
      <c r="A4" s="29" t="inlineStr">
        <is>
          <t>Ref</t>
        </is>
      </c>
      <c r="B4" s="29" t="inlineStr">
        <is>
          <t>Date Raised</t>
        </is>
      </c>
      <c r="C4" s="29" t="inlineStr">
        <is>
          <t>Issue / Opportunity</t>
        </is>
      </c>
      <c r="D4" s="29" t="inlineStr">
        <is>
          <t>Action</t>
        </is>
      </c>
      <c r="E4" s="29" t="inlineStr">
        <is>
          <t>Owner</t>
        </is>
      </c>
      <c r="F4" s="29" t="inlineStr">
        <is>
          <t>Target Date</t>
        </is>
      </c>
      <c r="G4" s="29" t="inlineStr">
        <is>
          <t>Status</t>
        </is>
      </c>
      <c r="H4" s="29" t="inlineStr">
        <is>
          <t>Notes</t>
        </is>
      </c>
    </row>
    <row r="5" ht="23.85" customHeight="1" s="21">
      <c r="A5" s="38" t="n">
        <v>1</v>
      </c>
      <c r="B5" s="39" t="inlineStr">
        <is>
          <t>2025-11-05</t>
        </is>
      </c>
      <c r="C5" s="40" t="inlineStr">
        <is>
          <t>Spindle bearing failures recurring on EQ-001</t>
        </is>
      </c>
      <c r="D5" s="40" t="inlineStr">
        <is>
          <t>Add bearing vibration check to weekly PM checklist</t>
        </is>
      </c>
      <c r="E5" s="40" t="inlineStr">
        <is>
          <t>J. Carter</t>
        </is>
      </c>
      <c r="F5" s="39" t="inlineStr">
        <is>
          <t>2025-12-01</t>
        </is>
      </c>
      <c r="G5" s="38" t="inlineStr">
        <is>
          <t>Complete</t>
        </is>
      </c>
      <c r="H5" s="40" t="inlineStr">
        <is>
          <t>Checklist updated, in use</t>
        </is>
      </c>
    </row>
    <row r="6" ht="23.85" customHeight="1" s="21">
      <c r="A6" s="38" t="n">
        <v>2</v>
      </c>
      <c r="B6" s="39" t="inlineStr">
        <is>
          <t>2025-11-25</t>
        </is>
      </c>
      <c r="C6" s="40" t="inlineStr">
        <is>
          <t>Compressor overheat trip caused 0.7hr stop</t>
        </is>
      </c>
      <c r="D6" s="40" t="inlineStr">
        <is>
          <t>Add cooler fin cleaning to monthly PM for EQ-005</t>
        </is>
      </c>
      <c r="E6" s="40" t="inlineStr">
        <is>
          <t>R. Hughes</t>
        </is>
      </c>
      <c r="F6" s="39" t="inlineStr">
        <is>
          <t>2025-12-15</t>
        </is>
      </c>
      <c r="G6" s="38" t="inlineStr">
        <is>
          <t>In Progress</t>
        </is>
      </c>
      <c r="H6" s="40" t="n"/>
    </row>
    <row r="7" ht="35.05" customHeight="1" s="21">
      <c r="A7" s="38" t="n">
        <v>3</v>
      </c>
      <c r="B7" s="39" t="inlineStr">
        <is>
          <t>2025-12-03</t>
        </is>
      </c>
      <c r="C7" s="40" t="inlineStr">
        <is>
          <t>OEE on EQ-002 below target due to tool changer faults</t>
        </is>
      </c>
      <c r="D7" s="40" t="inlineStr">
        <is>
          <t>Review PLC fault history with controls engineer; consider sensor upgrade</t>
        </is>
      </c>
      <c r="E7" s="40" t="inlineStr">
        <is>
          <t>S. Naidu</t>
        </is>
      </c>
      <c r="F7" s="39" t="inlineStr">
        <is>
          <t>2026-01-31</t>
        </is>
      </c>
      <c r="G7" s="38" t="inlineStr">
        <is>
          <t>Open</t>
        </is>
      </c>
      <c r="H7" s="40" t="n"/>
    </row>
    <row r="8" ht="15" customHeight="1" s="21">
      <c r="A8" s="38" t="n"/>
      <c r="B8" s="39" t="n"/>
      <c r="C8" s="40" t="n"/>
      <c r="D8" s="40" t="n"/>
      <c r="E8" s="40" t="n"/>
      <c r="F8" s="39" t="n"/>
      <c r="G8" s="38" t="n"/>
      <c r="H8" s="40" t="n"/>
    </row>
    <row r="9" ht="15" customHeight="1" s="21">
      <c r="A9" s="38" t="n"/>
      <c r="B9" s="39" t="n"/>
      <c r="C9" s="40" t="n"/>
      <c r="D9" s="40" t="n"/>
      <c r="E9" s="40" t="n"/>
      <c r="F9" s="39" t="n"/>
      <c r="G9" s="38" t="n"/>
      <c r="H9" s="40" t="n"/>
    </row>
    <row r="10" ht="15" customHeight="1" s="21">
      <c r="A10" s="38" t="n"/>
      <c r="B10" s="39" t="n"/>
      <c r="C10" s="40" t="n"/>
      <c r="D10" s="40" t="n"/>
      <c r="E10" s="40" t="n"/>
      <c r="F10" s="39" t="n"/>
      <c r="G10" s="38" t="n"/>
      <c r="H10" s="40" t="n"/>
    </row>
    <row r="11" ht="15" customHeight="1" s="21">
      <c r="A11" s="38" t="n"/>
      <c r="B11" s="39" t="n"/>
      <c r="C11" s="40" t="n"/>
      <c r="D11" s="40" t="n"/>
      <c r="E11" s="40" t="n"/>
      <c r="F11" s="39" t="n"/>
      <c r="G11" s="38" t="n"/>
      <c r="H11" s="40" t="n"/>
    </row>
    <row r="12" ht="15" customHeight="1" s="21">
      <c r="A12" s="38" t="n"/>
      <c r="B12" s="39" t="n"/>
      <c r="C12" s="40" t="n"/>
      <c r="D12" s="40" t="n"/>
      <c r="E12" s="40" t="n"/>
      <c r="F12" s="39" t="n"/>
      <c r="G12" s="38" t="n"/>
      <c r="H12" s="40" t="n"/>
    </row>
    <row r="13" ht="15" customHeight="1" s="21">
      <c r="A13" s="38" t="n"/>
      <c r="B13" s="39" t="n"/>
      <c r="C13" s="40" t="n"/>
      <c r="D13" s="40" t="n"/>
      <c r="E13" s="40" t="n"/>
      <c r="F13" s="39" t="n"/>
      <c r="G13" s="38" t="n"/>
      <c r="H13" s="40" t="n"/>
    </row>
    <row r="14" ht="15" customHeight="1" s="21">
      <c r="A14" s="38" t="n"/>
      <c r="B14" s="39" t="n"/>
      <c r="C14" s="40" t="n"/>
      <c r="D14" s="40" t="n"/>
      <c r="E14" s="40" t="n"/>
      <c r="F14" s="39" t="n"/>
      <c r="G14" s="38" t="n"/>
      <c r="H14" s="40" t="n"/>
    </row>
    <row r="15" ht="15" customHeight="1" s="21">
      <c r="A15" s="38" t="n"/>
      <c r="B15" s="39" t="n"/>
      <c r="C15" s="40" t="n"/>
      <c r="D15" s="40" t="n"/>
      <c r="E15" s="40" t="n"/>
      <c r="F15" s="39" t="n"/>
      <c r="G15" s="38" t="n"/>
      <c r="H15" s="40" t="n"/>
    </row>
    <row r="16" ht="15" customHeight="1" s="21">
      <c r="A16" s="38" t="n"/>
      <c r="B16" s="39" t="n"/>
      <c r="C16" s="40" t="n"/>
      <c r="D16" s="40" t="n"/>
      <c r="E16" s="40" t="n"/>
      <c r="F16" s="39" t="n"/>
      <c r="G16" s="38" t="n"/>
      <c r="H16" s="40" t="n"/>
    </row>
    <row r="17" ht="15" customHeight="1" s="21">
      <c r="A17" s="38" t="n"/>
      <c r="B17" s="39" t="n"/>
      <c r="C17" s="40" t="n"/>
      <c r="D17" s="40" t="n"/>
      <c r="E17" s="40" t="n"/>
      <c r="F17" s="39" t="n"/>
      <c r="G17" s="38" t="n"/>
      <c r="H17" s="40" t="n"/>
    </row>
  </sheetData>
  <mergeCells count="2">
    <mergeCell ref="A2:H2"/>
    <mergeCell ref="A1:H1"/>
  </mergeCells>
  <conditionalFormatting sqref="G5:G17">
    <cfRule type="expression" rank="0" priority="2" equalAverage="0" aboveAverage="0" dxfId="0" text="" percent="0" bottom="0">
      <formula>G5="Complete"</formula>
    </cfRule>
    <cfRule type="expression" rank="0" priority="3" equalAverage="0" aboveAverage="0" dxfId="1" text="" percent="0" bottom="0">
      <formula>G5="In Progress"</formula>
    </cfRule>
    <cfRule type="expression" rank="0" priority="4" equalAverage="0" aboveAverage="0" dxfId="2" text="" percent="0" bottom="0">
      <formula>G5="Open"</formula>
    </cfRule>
  </conditionalFormatting>
  <dataValidations count="1">
    <dataValidation sqref="G5:G17" showDropDown="0" showInputMessage="0" showErrorMessage="0" allowBlank="1" type="list" errorStyle="stop" operator="between">
      <formula1>"Open,In Progress,Complete"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F5957C-B531-47FF-BF6B-BB773A9DBE3D}"/>
</file>

<file path=customXml/itemProps2.xml><?xml version="1.0" encoding="utf-8"?>
<ds:datastoreItem xmlns:ds="http://schemas.openxmlformats.org/officeDocument/2006/customXml" ds:itemID="{083A3B48-8CD6-4765-BF8D-582D43E64A47}"/>
</file>

<file path=customXml/itemProps3.xml><?xml version="1.0" encoding="utf-8"?>
<ds:datastoreItem xmlns:ds="http://schemas.openxmlformats.org/officeDocument/2006/customXml" ds:itemID="{9BE86B50-2183-40CB-A6E7-B565B4B526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PE-04c Maintenance KPI Trend Dashboard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