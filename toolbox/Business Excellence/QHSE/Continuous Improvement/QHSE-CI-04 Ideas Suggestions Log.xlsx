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s Log" sheetId="1" state="visible" r:id="rId1"/>
    <sheet xmlns:r="http://schemas.openxmlformats.org/officeDocument/2006/relationships" name="Idea Submission Form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5B595A"/>
      <sz val="10"/>
    </font>
    <font>
      <name val="Arial"/>
      <b val="1"/>
      <color rgb="00FFFFFF"/>
      <sz val="11"/>
    </font>
    <font>
      <name val="Arial"/>
      <b val="1"/>
      <color rgb="00009FE3"/>
      <sz val="12"/>
    </font>
    <font>
      <name val="Arial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83348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9" fontId="7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9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0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E6F4FB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35" customWidth="1" min="5" max="5"/>
    <col width="18" customWidth="1" min="6" max="6"/>
    <col width="25" customWidth="1" min="7" max="7"/>
    <col width="10" customWidth="1" min="8" max="8"/>
    <col width="12" customWidth="1" min="9" max="9"/>
    <col width="20" customWidth="1" min="10" max="10"/>
    <col width="30" customWidth="1" min="11" max="11"/>
    <col width="14" customWidth="1" min="12" max="12"/>
  </cols>
  <sheetData>
    <row r="1" ht="50" customHeight="1">
      <c r="A1" s="19" t="inlineStr">
        <is>
          <t>IDEAS AND SUGGESTIONS LOG</t>
        </is>
      </c>
    </row>
    <row r="2" ht="18" customHeight="1">
      <c r="A2" s="21" t="inlineStr">
        <is>
          <t>All ideas welcome. Every suggestion receives a response within 5 working days. Ideas that are implemented are recognised.</t>
        </is>
      </c>
    </row>
    <row r="4" ht="30" customHeight="1">
      <c r="A4" s="3" t="inlineStr">
        <is>
          <t>Idea Ref</t>
        </is>
      </c>
      <c r="B4" s="3" t="inlineStr">
        <is>
          <t>Date Submitted</t>
        </is>
      </c>
      <c r="C4" s="3" t="inlineStr">
        <is>
          <t>Submitted By</t>
        </is>
      </c>
      <c r="D4" s="3" t="inlineStr">
        <is>
          <t>Department</t>
        </is>
      </c>
      <c r="E4" s="3" t="inlineStr">
        <is>
          <t>Idea / Suggestion Description</t>
        </is>
      </c>
      <c r="F4" s="3" t="inlineStr">
        <is>
          <t>Category</t>
        </is>
      </c>
      <c r="G4" s="3" t="inlineStr">
        <is>
          <t>Potential Benefit</t>
        </is>
      </c>
      <c r="H4" s="3" t="inlineStr">
        <is>
          <t>Priority</t>
        </is>
      </c>
      <c r="I4" s="3" t="inlineStr">
        <is>
          <t>Review Date</t>
        </is>
      </c>
      <c r="J4" s="3" t="inlineStr">
        <is>
          <t>Decision</t>
        </is>
      </c>
      <c r="K4" s="3" t="inlineStr">
        <is>
          <t>Action Taken / Outcome</t>
        </is>
      </c>
      <c r="L4" s="3" t="inlineStr">
        <is>
          <t>Status</t>
        </is>
      </c>
    </row>
    <row r="5" ht="45" customHeight="1">
      <c r="A5" s="4" t="inlineStr">
        <is>
          <t>IDEA-001</t>
        </is>
      </c>
      <c r="B5" s="4" t="inlineStr">
        <is>
          <t>[Date]</t>
        </is>
      </c>
      <c r="C5" s="5" t="inlineStr">
        <is>
          <t>[Name]</t>
        </is>
      </c>
      <c r="D5" s="5" t="inlineStr">
        <is>
          <t>Machine Shop</t>
        </is>
      </c>
      <c r="E5" s="5" t="inlineStr">
        <is>
          <t>Move the angle grinders from the back of the machine shop to a dedicated grinding station near extraction. Currently carrying grinders across the shop floor which is a trip hazard and takes time.</t>
        </is>
      </c>
      <c r="F5" s="4" t="inlineStr">
        <is>
          <t>Safety Improvement</t>
        </is>
      </c>
      <c r="G5" s="5" t="inlineStr">
        <is>
          <t>Reduced trip hazard. Faster access to grinding. Better extraction compliance.</t>
        </is>
      </c>
      <c r="H5" s="4" t="inlineStr">
        <is>
          <t>High</t>
        </is>
      </c>
      <c r="I5" s="4" t="inlineStr">
        <is>
          <t>[Date]</t>
        </is>
      </c>
      <c r="J5" s="5" t="inlineStr">
        <is>
          <t>Approved - To Implement</t>
        </is>
      </c>
      <c r="K5" s="5" t="inlineStr">
        <is>
          <t>Grinding station created in Week [X]. Guards and extraction installed. Estimated 10 mins per day per operative saved.</t>
        </is>
      </c>
      <c r="L5" s="4" t="inlineStr">
        <is>
          <t>Implemented</t>
        </is>
      </c>
    </row>
    <row r="6" ht="45" customHeight="1">
      <c r="A6" s="6" t="inlineStr">
        <is>
          <t>IDEA-002</t>
        </is>
      </c>
      <c r="B6" s="6" t="inlineStr">
        <is>
          <t>[Date]</t>
        </is>
      </c>
      <c r="C6" s="7" t="inlineStr">
        <is>
          <t>[Name]</t>
        </is>
      </c>
      <c r="D6" s="7" t="inlineStr">
        <is>
          <t>Quality</t>
        </is>
      </c>
      <c r="E6" s="7" t="inlineStr">
        <is>
          <t>Create a pre-weld dimensional check sheet specific to each weld joint type so inspectors do not have to refer back to the drawing every time. Would reduce errors and speed up pre-weld checks.</t>
        </is>
      </c>
      <c r="F6" s="6" t="inlineStr">
        <is>
          <t>Quality Improvement</t>
        </is>
      </c>
      <c r="G6" s="7" t="inlineStr">
        <is>
          <t>Faster pre-weld inspection. Fewer missed checks. Reduced NCR rate on weld fit-up.</t>
        </is>
      </c>
      <c r="H6" s="6" t="inlineStr">
        <is>
          <t>High</t>
        </is>
      </c>
      <c r="I6" s="6" t="inlineStr">
        <is>
          <t>[Date]</t>
        </is>
      </c>
      <c r="J6" s="7" t="inlineStr">
        <is>
          <t>Approved - To Implement</t>
        </is>
      </c>
      <c r="K6" s="7" t="inlineStr">
        <is>
          <t>Check sheets created for top 5 weld joint types. Trialled for 2 weeks. Pre-weld NCR rate reduced.</t>
        </is>
      </c>
      <c r="L6" s="6" t="inlineStr">
        <is>
          <t>Implemented</t>
        </is>
      </c>
    </row>
    <row r="7" ht="45" customHeight="1">
      <c r="A7" s="4" t="inlineStr">
        <is>
          <t>IDEA-003</t>
        </is>
      </c>
      <c r="B7" s="4" t="inlineStr">
        <is>
          <t>[Date]</t>
        </is>
      </c>
      <c r="C7" s="5" t="inlineStr">
        <is>
          <t>[Name]</t>
        </is>
      </c>
      <c r="D7" s="5" t="inlineStr">
        <is>
          <t>Stores</t>
        </is>
      </c>
      <c r="E7" s="5" t="inlineStr">
        <is>
          <t>Put QR codes on material storage locations that link directly to the material entry in the traceability register. Would speed up material identification and reduce errors.</t>
        </is>
      </c>
      <c r="F7" s="4" t="inlineStr">
        <is>
          <t>Digital / Technology</t>
        </is>
      </c>
      <c r="G7" s="5" t="inlineStr">
        <is>
          <t>Faster material identification. Fewer traceability errors.</t>
        </is>
      </c>
      <c r="H7" s="4" t="inlineStr">
        <is>
          <t>Medium</t>
        </is>
      </c>
      <c r="I7" s="4" t="inlineStr">
        <is>
          <t>[Date]</t>
        </is>
      </c>
      <c r="J7" s="5" t="inlineStr">
        <is>
          <t>Under Review</t>
        </is>
      </c>
      <c r="K7" s="5" t="inlineStr">
        <is>
          <t>IT and Quality Manager reviewing feasibility and cost. Response due [date].</t>
        </is>
      </c>
      <c r="L7" s="4" t="inlineStr">
        <is>
          <t>Open</t>
        </is>
      </c>
    </row>
    <row r="8" ht="45" customHeight="1">
      <c r="A8" s="6" t="inlineStr">
        <is>
          <t>IDEA-004</t>
        </is>
      </c>
      <c r="B8" s="6" t="inlineStr">
        <is>
          <t>[Date]</t>
        </is>
      </c>
      <c r="C8" s="7" t="inlineStr">
        <is>
          <t>[Name]</t>
        </is>
      </c>
      <c r="D8" s="7" t="inlineStr">
        <is>
          <t>Fabrication</t>
        </is>
      </c>
      <c r="E8" s="7" t="inlineStr">
        <is>
          <t>Provide a small whiteboard at each welding bay to record the current job number and drawing revision. This would avoid confusion when welders are moved between bays mid-job.</t>
        </is>
      </c>
      <c r="F8" s="6" t="inlineStr">
        <is>
          <t>Quality Improvement</t>
        </is>
      </c>
      <c r="G8" s="7" t="inlineStr">
        <is>
          <t>Reduced risk of welding wrong revision. Clearer bay identification.</t>
        </is>
      </c>
      <c r="H8" s="6" t="inlineStr">
        <is>
          <t>Medium</t>
        </is>
      </c>
      <c r="I8" s="6" t="inlineStr">
        <is>
          <t>[Date]</t>
        </is>
      </c>
      <c r="J8" s="7" t="inlineStr">
        <is>
          <t>Approved - To Implement</t>
        </is>
      </c>
      <c r="K8" s="7" t="inlineStr">
        <is>
          <t>Whiteboards installed in all 6 bays. Operatives briefed.</t>
        </is>
      </c>
      <c r="L8" s="6" t="inlineStr">
        <is>
          <t>Implemented</t>
        </is>
      </c>
    </row>
    <row r="9" ht="45" customHeight="1">
      <c r="A9" s="4" t="inlineStr">
        <is>
          <t>IDEA-005</t>
        </is>
      </c>
      <c r="B9" s="4" t="inlineStr">
        <is>
          <t>[Date]</t>
        </is>
      </c>
      <c r="C9" s="5" t="inlineStr">
        <is>
          <t>[Name]</t>
        </is>
      </c>
      <c r="D9" s="5" t="inlineStr">
        <is>
          <t>Office</t>
        </is>
      </c>
      <c r="E9" s="5" t="inlineStr">
        <is>
          <t>Switch from paper-based toolbox talk records to a simple tablet app. Would be easier to store records and search for historical training.</t>
        </is>
      </c>
      <c r="F9" s="4" t="inlineStr">
        <is>
          <t>Digital / Technology</t>
        </is>
      </c>
      <c r="G9" s="5" t="inlineStr">
        <is>
          <t>Faster records retrieval. Better evidence for audits.</t>
        </is>
      </c>
      <c r="H9" s="4" t="inlineStr">
        <is>
          <t>Low</t>
        </is>
      </c>
      <c r="I9" s="4" t="inlineStr">
        <is>
          <t>[Date]</t>
        </is>
      </c>
      <c r="J9" s="5" t="inlineStr">
        <is>
          <t>Not Proceeding - See Reason</t>
        </is>
      </c>
      <c r="K9" s="5" t="inlineStr">
        <is>
          <t>Paper records adequate for current volume. Digital solution to be considered as part of wider QMS review in [Year].</t>
        </is>
      </c>
      <c r="L9" s="4" t="inlineStr">
        <is>
          <t>Closed - Not Proceeding</t>
        </is>
      </c>
    </row>
  </sheetData>
  <mergeCells count="2">
    <mergeCell ref="A2:L2"/>
    <mergeCell ref="A1:L1"/>
  </mergeCells>
  <conditionalFormatting sqref="L5:L50">
    <cfRule type="cellIs" priority="1" operator="equal" dxfId="0">
      <formula>"Implemented"</formula>
    </cfRule>
    <cfRule type="cellIs" priority="2" operator="equal" dxfId="1">
      <formula>"Open"</formula>
    </cfRule>
    <cfRule type="cellIs" priority="3" operator="equal" dxfId="2">
      <formula>"Closed - Not Proceeding"</formula>
    </cfRule>
  </conditionalFormatting>
  <dataValidations count="4">
    <dataValidation sqref="F5 F6 F7 F8 F9" showDropDown="0" showInputMessage="0" showErrorMessage="0" allowBlank="1" type="list">
      <formula1>"Safety Improvement,Quality Improvement,Cost Reduction,Productivity / Efficiency,Environmental,Customer Service,Working Conditions,New Product / Service,Digital / Technology,Other"</formula1>
    </dataValidation>
    <dataValidation sqref="H5 H6 H7 H8 H9" showDropDown="0" showInputMessage="0" showErrorMessage="0" allowBlank="1" type="list">
      <formula1>"High,Medium,Low"</formula1>
    </dataValidation>
    <dataValidation sqref="J5 J6 J7 J8 J9" showDropDown="0" showInputMessage="0" showErrorMessage="0" allowBlank="1" type="list">
      <formula1>"Under Review,Approved - To Implement,Implemented,Not Proceeding - See Reason,Referred to CI Project"</formula1>
    </dataValidation>
    <dataValidation sqref="L5 L6 L7 L8 L9" showDropDown="0" showInputMessage="0" showErrorMessage="0" allowBlank="1" type="list">
      <formula1>"Open,In Progress,Implemented,Closed - Not Proceeding"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50" customHeight="1">
      <c r="A1" s="19" t="inlineStr">
        <is>
          <t>IDEAS AND SUGGESTIONS SUBMISSION FORM</t>
        </is>
      </c>
    </row>
    <row r="2" ht="22" customHeight="1">
      <c r="A2" s="21" t="inlineStr">
        <is>
          <t>Submit your idea to your supervisor or the Quality Manager. All ideas are reviewed and you will receive a response within 5 working days.</t>
        </is>
      </c>
    </row>
    <row r="4" ht="18" customHeight="1">
      <c r="A4" s="9" t="inlineStr">
        <is>
          <t>Your Name (optional)</t>
        </is>
      </c>
      <c r="B4" s="10" t="inlineStr"/>
    </row>
    <row r="5" ht="18" customHeight="1">
      <c r="A5" s="9" t="inlineStr">
        <is>
          <t>Department / Area</t>
        </is>
      </c>
      <c r="B5" s="10" t="inlineStr"/>
    </row>
    <row r="6" ht="18" customHeight="1">
      <c r="A6" s="9" t="inlineStr">
        <is>
          <t>Date Submitted</t>
        </is>
      </c>
      <c r="B6" s="10" t="inlineStr"/>
    </row>
    <row r="7" ht="18" customHeight="1">
      <c r="A7" s="9" t="inlineStr">
        <is>
          <t>Category of Idea</t>
        </is>
      </c>
      <c r="B7" s="10" t="inlineStr">
        <is>
          <t>Safety / Quality / Cost / Productivity / Environmental / Other</t>
        </is>
      </c>
    </row>
    <row r="8" ht="18" customHeight="1">
      <c r="A8" s="9" t="inlineStr">
        <is>
          <t>Title of Your Idea</t>
        </is>
      </c>
      <c r="B8" s="10" t="inlineStr"/>
    </row>
    <row r="9" ht="80" customHeight="1">
      <c r="A9" s="9" t="inlineStr">
        <is>
          <t>Description of Your Idea</t>
        </is>
      </c>
      <c r="B9" s="10" t="inlineStr">
        <is>
          <t>Describe the idea or suggestion in detail. What is the current situation? What are you proposing? How would it work?</t>
        </is>
      </c>
    </row>
    <row r="10" ht="60" customHeight="1">
      <c r="A10" s="9" t="inlineStr">
        <is>
          <t>What benefit do you think this would bring?</t>
        </is>
      </c>
      <c r="B10" s="10" t="inlineStr"/>
    </row>
    <row r="11" ht="18" customHeight="1">
      <c r="A11" s="9" t="inlineStr">
        <is>
          <t>Have you discussed this with your supervisor?</t>
        </is>
      </c>
      <c r="B11" s="10" t="inlineStr">
        <is>
          <t>Yes / No</t>
        </is>
      </c>
    </row>
    <row r="13" ht="22" customHeight="1">
      <c r="A13" s="11" t="inlineStr">
        <is>
          <t>FOR MANAGEMENT USE ONLY</t>
        </is>
      </c>
    </row>
    <row r="14" ht="18" customHeight="1">
      <c r="A14" s="9" t="inlineStr">
        <is>
          <t>Idea Reference Assigned</t>
        </is>
      </c>
      <c r="B14" s="10" t="inlineStr">
        <is>
          <t>IDEA-</t>
        </is>
      </c>
    </row>
    <row r="15" ht="18" customHeight="1">
      <c r="A15" s="9" t="inlineStr">
        <is>
          <t>Reviewed By</t>
        </is>
      </c>
      <c r="B15" s="10" t="inlineStr"/>
    </row>
    <row r="16" ht="18" customHeight="1">
      <c r="A16" s="9" t="inlineStr">
        <is>
          <t>Date Reviewed</t>
        </is>
      </c>
      <c r="B16" s="10" t="inlineStr"/>
    </row>
    <row r="17" ht="18" customHeight="1">
      <c r="A17" s="9" t="inlineStr">
        <is>
          <t>Decision</t>
        </is>
      </c>
      <c r="B17" s="10" t="inlineStr">
        <is>
          <t>Approved to implement / Under further review / Not proceeding (reason below)</t>
        </is>
      </c>
    </row>
    <row r="18" ht="60" customHeight="1">
      <c r="A18" s="9" t="inlineStr">
        <is>
          <t>Reason if Not Proceeding</t>
        </is>
      </c>
      <c r="B18" s="10" t="inlineStr"/>
    </row>
    <row r="19" ht="60" customHeight="1">
      <c r="A19" s="9" t="inlineStr">
        <is>
          <t>Feedback to Idea Submitter</t>
        </is>
      </c>
      <c r="B19" s="10" t="inlineStr"/>
    </row>
    <row r="20" ht="18" customHeight="1">
      <c r="A20" s="9" t="inlineStr">
        <is>
          <t>Date Feedback Provided to Submitter</t>
        </is>
      </c>
      <c r="B20" s="10" t="inlineStr"/>
    </row>
  </sheetData>
  <mergeCells count="3">
    <mergeCell ref="A13:B13"/>
    <mergeCell ref="A2:B2"/>
    <mergeCell ref="A1:B1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40" customWidth="1" min="4" max="4"/>
  </cols>
  <sheetData>
    <row r="1" ht="50" customHeight="1">
      <c r="A1" s="19" t="inlineStr">
        <is>
          <t>IDEAS AND SUGGESTIONS - SUMMARY DASHBOARD</t>
        </is>
      </c>
    </row>
    <row r="2" ht="18" customHeight="1">
      <c r="A2" s="21" t="inlineStr">
        <is>
          <t>Update this summary at the monthly CI review meeting. Present to all staff to demonstrate ideas are taken seriously.</t>
        </is>
      </c>
    </row>
    <row r="4" ht="22" customHeight="1">
      <c r="A4" s="11" t="inlineStr">
        <is>
          <t>KEY METRICS</t>
        </is>
      </c>
    </row>
    <row r="5" ht="22" customHeight="1">
      <c r="A5" s="9" t="inlineStr">
        <is>
          <t>Total Ideas Submitted (Year to Date)</t>
        </is>
      </c>
      <c r="B5" s="12">
        <f>COUNTA('Ideas Log'!A5:A200)-COUNTBLANK('Ideas Log'!A5:A200)</f>
        <v/>
      </c>
      <c r="C5" s="13" t="inlineStr"/>
    </row>
    <row r="6" ht="22" customHeight="1">
      <c r="A6" s="9" t="inlineStr">
        <is>
          <t>Ideas Implemented</t>
        </is>
      </c>
      <c r="B6" s="12">
        <f>COUNTIF('Ideas Log'!L5:L200,"Implemented")</f>
        <v/>
      </c>
      <c r="C6" s="13" t="inlineStr"/>
    </row>
    <row r="7" ht="22" customHeight="1">
      <c r="A7" s="9" t="inlineStr">
        <is>
          <t>Ideas Under Review</t>
        </is>
      </c>
      <c r="B7" s="12">
        <f>COUNTIF('Ideas Log'!L5:L200,"Open")+COUNTIF('Ideas Log'!L5:L200,"In Progress")</f>
        <v/>
      </c>
      <c r="C7" s="13" t="inlineStr"/>
    </row>
    <row r="8" ht="22" customHeight="1">
      <c r="A8" s="9" t="inlineStr">
        <is>
          <t>Implementation Rate</t>
        </is>
      </c>
      <c r="B8" s="14">
        <f>IFERROR(COUNTIF('Ideas Log'!L5:L200,"Implemented")/MAX(1,COUNTA('Ideas Log'!A5:A200)-COUNTBLANK('Ideas Log'!A5:A200)),0)</f>
        <v/>
      </c>
      <c r="C8" s="13" t="inlineStr">
        <is>
          <t>%</t>
        </is>
      </c>
    </row>
    <row r="9" ht="22" customHeight="1">
      <c r="A9" s="9" t="inlineStr">
        <is>
          <t>Average Response Time (target: 5 days)</t>
        </is>
      </c>
      <c r="B9" s="12" t="inlineStr">
        <is>
          <t>[Manual entry]</t>
        </is>
      </c>
      <c r="C9" s="13" t="inlineStr">
        <is>
          <t>days</t>
        </is>
      </c>
    </row>
    <row r="10" ht="22" customHeight="1">
      <c r="A10" s="9" t="inlineStr">
        <is>
          <t>Ideas from Production</t>
        </is>
      </c>
      <c r="B10" s="12">
        <f>COUNTIF('Ideas Log'!D5:D200,"Machine Shop")+COUNTIF('Ideas Log'!D5:D200,"Fabrication")+COUNTIF('Ideas Log'!D5:D200,"Assembly")</f>
        <v/>
      </c>
      <c r="C10" s="13" t="inlineStr"/>
    </row>
    <row r="11" ht="22" customHeight="1">
      <c r="A11" s="9" t="inlineStr">
        <is>
          <t>Safety Improvement Ideas</t>
        </is>
      </c>
      <c r="B11" s="12">
        <f>COUNTIF('Ideas Log'!F5:F200,"Safety Improvement")</f>
        <v/>
      </c>
      <c r="C11" s="13" t="inlineStr"/>
    </row>
    <row r="12" ht="22" customHeight="1">
      <c r="A12" s="9" t="inlineStr">
        <is>
          <t>Quality Improvement Ideas</t>
        </is>
      </c>
      <c r="B12" s="12">
        <f>COUNTIF('Ideas Log'!F5:F200,"Quality Improvement")</f>
        <v/>
      </c>
      <c r="C12" s="13" t="inlineStr"/>
    </row>
    <row r="14" ht="22" customHeight="1">
      <c r="A14" s="15" t="inlineStr">
        <is>
          <t>RECENT IMPLEMENTED IDEAS - SHARE WITH THE TEAM</t>
        </is>
      </c>
    </row>
    <row r="15" ht="22" customHeight="1">
      <c r="A15" s="16" t="inlineStr">
        <is>
          <t>Idea Ref</t>
        </is>
      </c>
      <c r="B15" s="16" t="inlineStr">
        <is>
          <t>Submitted By</t>
        </is>
      </c>
      <c r="C15" s="16" t="inlineStr">
        <is>
          <t>Description</t>
        </is>
      </c>
      <c r="D15" s="16" t="inlineStr">
        <is>
          <t>Benefit Achieved</t>
        </is>
      </c>
    </row>
    <row r="16" ht="30" customHeight="1">
      <c r="A16" s="17" t="n"/>
      <c r="B16" s="17" t="n"/>
      <c r="C16" s="17" t="n"/>
      <c r="D16" s="17" t="n"/>
    </row>
    <row r="17" ht="30" customHeight="1">
      <c r="A17" s="18" t="n"/>
      <c r="B17" s="18" t="n"/>
      <c r="C17" s="18" t="n"/>
      <c r="D17" s="18" t="n"/>
    </row>
    <row r="18" ht="30" customHeight="1">
      <c r="A18" s="17" t="n"/>
      <c r="B18" s="17" t="n"/>
      <c r="C18" s="17" t="n"/>
      <c r="D18" s="17" t="n"/>
    </row>
    <row r="19" ht="30" customHeight="1">
      <c r="A19" s="18" t="n"/>
      <c r="B19" s="18" t="n"/>
      <c r="C19" s="18" t="n"/>
      <c r="D19" s="18" t="n"/>
    </row>
    <row r="20" ht="30" customHeight="1">
      <c r="A20" s="17" t="n"/>
      <c r="B20" s="17" t="n"/>
      <c r="C20" s="17" t="n"/>
      <c r="D20" s="17" t="n"/>
    </row>
    <row r="21" ht="30" customHeight="1">
      <c r="A21" s="18" t="n"/>
      <c r="B21" s="18" t="n"/>
      <c r="C21" s="18" t="n"/>
      <c r="D21" s="18" t="n"/>
    </row>
    <row r="22" ht="30" customHeight="1">
      <c r="A22" s="17" t="n"/>
      <c r="B22" s="17" t="n"/>
      <c r="C22" s="17" t="n"/>
      <c r="D22" s="17" t="n"/>
    </row>
    <row r="23" ht="30" customHeight="1">
      <c r="A23" s="18" t="n"/>
      <c r="B23" s="18" t="n"/>
      <c r="C23" s="18" t="n"/>
      <c r="D23" s="18" t="n"/>
    </row>
  </sheetData>
  <mergeCells count="4">
    <mergeCell ref="A1:D1"/>
    <mergeCell ref="A14:D14"/>
    <mergeCell ref="A4:D4"/>
    <mergeCell ref="A2:D2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0A377-17FD-4785-912B-EE4C06A925E8}"/>
</file>

<file path=customXml/itemProps2.xml><?xml version="1.0" encoding="utf-8"?>
<ds:datastoreItem xmlns:ds="http://schemas.openxmlformats.org/officeDocument/2006/customXml" ds:itemID="{EBD16BE8-5391-4504-A75C-99F8E77D1189}"/>
</file>

<file path=customXml/itemProps3.xml><?xml version="1.0" encoding="utf-8"?>
<ds:datastoreItem xmlns:ds="http://schemas.openxmlformats.org/officeDocument/2006/customXml" ds:itemID="{725890B6-9A6A-4B2D-ACC1-14D399D63F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QHSE-CI-04 Ideas Suggestions Log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