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isk Register" sheetId="1" state="visible" r:id="rId1"/>
    <sheet xmlns:r="http://schemas.openxmlformats.org/officeDocument/2006/relationships" name="Risk Summary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6"/>
    </font>
    <font>
      <name val="Arial"/>
      <charset val="1"/>
      <family val="0"/>
      <b val="1"/>
      <color rgb="FF5B595A"/>
      <sz val="10"/>
    </font>
    <font>
      <name val="Arial"/>
      <charset val="1"/>
      <family val="0"/>
      <color rgb="FF5B595A"/>
      <sz val="10"/>
    </font>
    <font>
      <name val="Arial"/>
      <charset val="1"/>
      <family val="0"/>
      <b val="1"/>
      <color rgb="FFFFFFFF"/>
      <sz val="8"/>
    </font>
    <font>
      <name val="Arial"/>
      <charset val="1"/>
      <family val="0"/>
      <i val="1"/>
      <color rgb="FFFFFFFF"/>
      <sz val="8"/>
    </font>
    <font>
      <name val="Arial"/>
      <charset val="1"/>
      <family val="0"/>
      <b val="1"/>
      <color rgb="FF009FE3"/>
      <sz val="9"/>
    </font>
    <font>
      <name val="Arial"/>
      <charset val="1"/>
      <family val="0"/>
      <color rgb="FF5B595A"/>
      <sz val="9"/>
    </font>
    <font>
      <name val="Arial"/>
      <charset val="1"/>
      <family val="0"/>
      <b val="1"/>
      <color rgb="FF5B595A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FFFFFF"/>
      <sz val="9"/>
    </font>
    <font>
      <name val="Arial"/>
      <charset val="1"/>
      <family val="0"/>
      <b val="1"/>
      <color rgb="FF5B595A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rgb="FF009FE3"/>
      <sz val="13"/>
    </font>
    <font>
      <name val="Calibri"/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FF009FE3"/>
        <bgColor rgb="FF008080"/>
      </patternFill>
    </fill>
    <fill>
      <patternFill patternType="solid">
        <fgColor rgb="FFF7F7F7"/>
        <bgColor rgb="FFEBF7FD"/>
      </patternFill>
    </fill>
    <fill>
      <patternFill patternType="solid">
        <fgColor rgb="FFFFFFFF"/>
        <bgColor rgb="FFF7F7F7"/>
      </patternFill>
    </fill>
    <fill>
      <patternFill patternType="solid">
        <fgColor rgb="FF5B595A"/>
        <bgColor rgb="FF808080"/>
      </patternFill>
    </fill>
    <fill>
      <patternFill patternType="solid">
        <fgColor rgb="FFEBF7FD"/>
        <bgColor rgb="FFF7F7F7"/>
      </patternFill>
    </fill>
    <fill>
      <patternFill patternType="solid">
        <fgColor rgb="FFFFD93D"/>
        <bgColor rgb="FFFFCC99"/>
      </patternFill>
    </fill>
    <fill>
      <patternFill patternType="solid">
        <fgColor rgb="FFFF6B6B"/>
        <bgColor rgb="FFFF6600"/>
      </patternFill>
    </fill>
    <fill>
      <patternFill patternType="solid">
        <fgColor rgb="FF6BCB77"/>
        <bgColor rgb="FF99CC00"/>
      </patternFill>
    </fill>
    <fill>
      <patternFill patternType="solid">
        <fgColor rgb="001C1C3A"/>
      </patternFill>
    </fill>
  </fills>
  <borders count="5">
    <border>
      <left/>
      <right/>
      <top/>
      <bottom/>
      <diagonal/>
    </border>
    <border>
      <left style="thin">
        <color rgb="FFD0D0D0"/>
      </left>
      <right/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/>
      <top style="thin">
        <color rgb="FFD0D0D0"/>
      </top>
      <bottom/>
      <diagonal/>
    </border>
    <border>
      <left/>
      <right/>
      <top style="thin">
        <color rgb="FFD0D0D0"/>
      </top>
      <bottom style="thin">
        <color rgb="FFD0D0D0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0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 indent="1"/>
    </xf>
    <xf numFmtId="0" fontId="5" fillId="3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5" fillId="3" borderId="2" applyAlignment="1" pivotButton="0" quotePrefix="0" xfId="0">
      <alignment horizontal="left" vertical="center" wrapText="1"/>
    </xf>
    <xf numFmtId="0" fontId="7" fillId="2" borderId="2" applyAlignment="1" pivotButton="0" quotePrefix="0" xfId="0">
      <alignment horizontal="center" vertical="center" wrapText="1"/>
    </xf>
    <xf numFmtId="0" fontId="8" fillId="5" borderId="0" applyAlignment="1" pivotButton="0" quotePrefix="0" xfId="0">
      <alignment horizontal="left" vertical="center"/>
    </xf>
    <xf numFmtId="0" fontId="9" fillId="3" borderId="2" applyAlignment="1" pivotButton="0" quotePrefix="0" xfId="0">
      <alignment horizontal="center" vertical="center" wrapText="1"/>
    </xf>
    <xf numFmtId="0" fontId="10" fillId="4" borderId="2" applyAlignment="1" pivotButton="0" quotePrefix="0" xfId="0">
      <alignment horizontal="left" vertical="center" wrapText="1"/>
    </xf>
    <xf numFmtId="0" fontId="10" fillId="4" borderId="2" applyAlignment="1" pivotButton="0" quotePrefix="0" xfId="0">
      <alignment horizontal="center" vertical="center" wrapText="1"/>
    </xf>
    <xf numFmtId="1" fontId="11" fillId="4" borderId="2" applyAlignment="1" pivotButton="0" quotePrefix="0" xfId="0">
      <alignment horizontal="center" vertical="center" wrapText="1"/>
    </xf>
    <xf numFmtId="0" fontId="11" fillId="4" borderId="2" applyAlignment="1" pivotButton="0" quotePrefix="0" xfId="0">
      <alignment horizontal="center" vertical="center" wrapText="1"/>
    </xf>
    <xf numFmtId="0" fontId="10" fillId="6" borderId="2" applyAlignment="1" pivotButton="0" quotePrefix="0" xfId="0">
      <alignment horizontal="left" vertical="center" wrapText="1"/>
    </xf>
    <xf numFmtId="0" fontId="10" fillId="6" borderId="2" applyAlignment="1" pivotButton="0" quotePrefix="0" xfId="0">
      <alignment horizontal="center" vertical="center" wrapText="1"/>
    </xf>
    <xf numFmtId="1" fontId="11" fillId="6" borderId="2" applyAlignment="1" pivotButton="0" quotePrefix="0" xfId="0">
      <alignment horizontal="center" vertical="center" wrapText="1"/>
    </xf>
    <xf numFmtId="0" fontId="11" fillId="6" borderId="2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left" vertical="center"/>
    </xf>
    <xf numFmtId="0" fontId="6" fillId="4" borderId="2" applyAlignment="1" pivotButton="0" quotePrefix="0" xfId="0">
      <alignment horizontal="center" vertical="center" wrapText="1"/>
    </xf>
    <xf numFmtId="0" fontId="13" fillId="5" borderId="2" applyAlignment="1" pivotButton="0" quotePrefix="0" xfId="0">
      <alignment horizontal="center" vertical="center" wrapText="1"/>
    </xf>
    <xf numFmtId="0" fontId="14" fillId="7" borderId="2" applyAlignment="1" pivotButton="0" quotePrefix="0" xfId="0">
      <alignment horizontal="center" vertical="center" wrapText="1"/>
    </xf>
    <xf numFmtId="0" fontId="15" fillId="8" borderId="2" applyAlignment="1" pivotButton="0" quotePrefix="0" xfId="0">
      <alignment horizontal="center" vertical="center" wrapText="1"/>
    </xf>
    <xf numFmtId="0" fontId="14" fillId="9" borderId="2" applyAlignment="1" pivotButton="0" quotePrefix="0" xfId="0">
      <alignment horizontal="center" vertical="center" wrapText="1"/>
    </xf>
    <xf numFmtId="0" fontId="16" fillId="4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17" fillId="10" borderId="0" applyAlignment="1" pivotButton="0" quotePrefix="0" xfId="0">
      <alignment horizontal="center" vertical="center" wrapText="1"/>
    </xf>
    <xf numFmtId="0" fontId="0" fillId="10" borderId="0" pivotButton="0" quotePrefix="0" xfId="0"/>
    <xf numFmtId="0" fontId="5" fillId="3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6" fillId="4" borderId="1" applyAlignment="1" pivotButton="0" quotePrefix="0" xfId="0">
      <alignment horizontal="left" vertical="center" wrapText="1"/>
    </xf>
    <xf numFmtId="0" fontId="5" fillId="3" borderId="2" applyAlignment="1" pivotButton="0" quotePrefix="0" xfId="0">
      <alignment horizontal="left" vertical="center" wrapText="1"/>
    </xf>
    <xf numFmtId="0" fontId="7" fillId="2" borderId="2" applyAlignment="1" pivotButton="0" quotePrefix="0" xfId="0">
      <alignment horizontal="center" vertical="center" wrapText="1"/>
    </xf>
    <xf numFmtId="0" fontId="8" fillId="5" borderId="0" applyAlignment="1" pivotButton="0" quotePrefix="0" xfId="0">
      <alignment horizontal="left" vertical="center"/>
    </xf>
    <xf numFmtId="0" fontId="9" fillId="3" borderId="2" applyAlignment="1" pivotButton="0" quotePrefix="0" xfId="0">
      <alignment horizontal="center" vertical="center" wrapText="1"/>
    </xf>
    <xf numFmtId="0" fontId="10" fillId="4" borderId="2" applyAlignment="1" pivotButton="0" quotePrefix="0" xfId="0">
      <alignment horizontal="left" vertical="center" wrapText="1"/>
    </xf>
    <xf numFmtId="0" fontId="10" fillId="4" borderId="2" applyAlignment="1" pivotButton="0" quotePrefix="0" xfId="0">
      <alignment horizontal="center" vertical="center" wrapText="1"/>
    </xf>
    <xf numFmtId="1" fontId="11" fillId="4" borderId="2" applyAlignment="1" pivotButton="0" quotePrefix="0" xfId="0">
      <alignment horizontal="center" vertical="center" wrapText="1"/>
    </xf>
    <xf numFmtId="0" fontId="11" fillId="4" borderId="2" applyAlignment="1" pivotButton="0" quotePrefix="0" xfId="0">
      <alignment horizontal="center" vertical="center" wrapText="1"/>
    </xf>
    <xf numFmtId="0" fontId="10" fillId="6" borderId="2" applyAlignment="1" pivotButton="0" quotePrefix="0" xfId="0">
      <alignment horizontal="left" vertical="center" wrapText="1"/>
    </xf>
    <xf numFmtId="0" fontId="10" fillId="6" borderId="2" applyAlignment="1" pivotButton="0" quotePrefix="0" xfId="0">
      <alignment horizontal="center" vertical="center" wrapText="1"/>
    </xf>
    <xf numFmtId="1" fontId="11" fillId="6" borderId="2" applyAlignment="1" pivotButton="0" quotePrefix="0" xfId="0">
      <alignment horizontal="center" vertical="center" wrapText="1"/>
    </xf>
    <xf numFmtId="0" fontId="11" fillId="6" borderId="2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left" vertical="center"/>
    </xf>
    <xf numFmtId="0" fontId="6" fillId="4" borderId="2" applyAlignment="1" pivotButton="0" quotePrefix="0" xfId="0">
      <alignment horizontal="center" vertical="center" wrapText="1"/>
    </xf>
    <xf numFmtId="0" fontId="13" fillId="5" borderId="2" applyAlignment="1" pivotButton="0" quotePrefix="0" xfId="0">
      <alignment horizontal="center" vertical="center" wrapText="1"/>
    </xf>
    <xf numFmtId="0" fontId="14" fillId="7" borderId="2" applyAlignment="1" pivotButton="0" quotePrefix="0" xfId="0">
      <alignment horizontal="center" vertical="center" wrapText="1"/>
    </xf>
    <xf numFmtId="0" fontId="15" fillId="8" borderId="2" applyAlignment="1" pivotButton="0" quotePrefix="0" xfId="0">
      <alignment horizontal="center" vertical="center" wrapText="1"/>
    </xf>
    <xf numFmtId="0" fontId="14" fillId="9" borderId="2" applyAlignment="1" pivotButton="0" quotePrefix="0" xfId="0">
      <alignment horizontal="center" vertical="center" wrapText="1"/>
    </xf>
    <xf numFmtId="0" fontId="16" fillId="4" borderId="2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7F7F7"/>
      <rgbColor rgb="FFEBF7FD"/>
      <rgbColor rgb="FF660066"/>
      <rgbColor rgb="FFFF6B6B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9FE3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6BCB77"/>
      <rgbColor rgb="FF99CC00"/>
      <rgbColor rgb="FFFFD93D"/>
      <rgbColor rgb="FFFF9900"/>
      <rgbColor rgb="FFFF6600"/>
      <rgbColor rgb="FF5B595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0</row>
      <rowOff>0</rowOff>
    </from>
    <ext cx="5334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0</row>
      <rowOff>0</rowOff>
    </from>
    <ext cx="5334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 filterMode="0">
    <tabColor rgb="0029ABE2"/>
    <outlinePr summaryBelow="1" summaryRight="1"/>
    <pageSetUpPr fitToPage="0"/>
  </sheetPr>
  <dimension ref="A1:Q43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24" min="1" max="1"/>
    <col width="16" customWidth="1" style="24" min="2" max="2"/>
    <col width="34" customWidth="1" style="24" min="3" max="3"/>
    <col width="9" customWidth="1" style="24" min="4" max="6"/>
    <col width="10" customWidth="1" style="24" min="7" max="7"/>
    <col width="28" customWidth="1" style="24" min="8" max="9"/>
    <col width="14" customWidth="1" style="24" min="10" max="10"/>
    <col width="11" customWidth="1" style="24" min="11" max="12"/>
    <col width="14" customWidth="1" style="24" min="13" max="13"/>
    <col width="12" customWidth="1" style="24" min="14" max="16"/>
    <col width="22" customWidth="1" style="24" min="17" max="17"/>
  </cols>
  <sheetData>
    <row r="1" ht="50" customHeight="1" s="25">
      <c r="A1" s="26" t="inlineStr">
        <is>
          <t>DPM-07  ·  PROJECT RISK REGISTER</t>
        </is>
      </c>
    </row>
    <row r="2" ht="13.5" customHeight="1" s="25"/>
    <row r="3" ht="13.5" customHeight="1" s="25"/>
    <row r="4" ht="19.5" customHeight="1" s="25">
      <c r="A4" s="28" t="inlineStr">
        <is>
          <t>Project:</t>
        </is>
      </c>
      <c r="B4" s="29" t="n"/>
      <c r="C4" s="30" t="n"/>
      <c r="D4" s="29" t="n"/>
      <c r="E4" s="29" t="n"/>
      <c r="F4" s="29" t="n"/>
      <c r="G4" s="29" t="n"/>
      <c r="H4" s="28" t="inlineStr">
        <is>
          <t>PID Reference:</t>
        </is>
      </c>
      <c r="I4" s="29" t="n"/>
      <c r="J4" s="30" t="n"/>
      <c r="K4" s="29" t="n"/>
      <c r="L4" s="29" t="n"/>
      <c r="M4" s="31" t="inlineStr">
        <is>
          <t>Date:</t>
        </is>
      </c>
      <c r="N4" s="30" t="n"/>
      <c r="O4" s="29" t="n"/>
      <c r="P4" s="29" t="n"/>
      <c r="Q4" s="29" t="n"/>
    </row>
    <row r="5" ht="19.5" customHeight="1" s="25">
      <c r="A5" s="28" t="inlineStr">
        <is>
          <t>Project Manager:</t>
        </is>
      </c>
      <c r="B5" s="29" t="n"/>
      <c r="C5" s="30" t="n"/>
      <c r="D5" s="29" t="n"/>
      <c r="E5" s="29" t="n"/>
      <c r="F5" s="29" t="n"/>
      <c r="G5" s="29" t="n"/>
      <c r="H5" s="28" t="inlineStr">
        <is>
          <t>Risk Owner:</t>
        </is>
      </c>
      <c r="I5" s="29" t="n"/>
      <c r="J5" s="30" t="n"/>
      <c r="K5" s="29" t="n"/>
      <c r="L5" s="29" t="n"/>
      <c r="M5" s="31" t="inlineStr">
        <is>
          <t>Next Review:</t>
        </is>
      </c>
      <c r="N5" s="30" t="n"/>
      <c r="O5" s="29" t="n"/>
      <c r="P5" s="29" t="n"/>
      <c r="Q5" s="29" t="n"/>
    </row>
    <row r="6" ht="6" customHeight="1" s="25"/>
    <row r="7" ht="37.5" customHeight="1" s="25">
      <c r="A7" s="32" t="inlineStr">
        <is>
          <t>Risk
ID</t>
        </is>
      </c>
      <c r="B7" s="32" t="inlineStr">
        <is>
          <t>Category</t>
        </is>
      </c>
      <c r="C7" s="32" t="inlineStr">
        <is>
          <t>Risk Description</t>
        </is>
      </c>
      <c r="D7" s="32" t="inlineStr">
        <is>
          <t>Like-
lihood
(1–5)</t>
        </is>
      </c>
      <c r="E7" s="32" t="inlineStr">
        <is>
          <t>Im-
pact
(1–5)</t>
        </is>
      </c>
      <c r="F7" s="32" t="inlineStr">
        <is>
          <t>Risk
Score</t>
        </is>
      </c>
      <c r="G7" s="32" t="inlineStr">
        <is>
          <t>Risk
Level</t>
        </is>
      </c>
      <c r="H7" s="32" t="inlineStr">
        <is>
          <t>Current Controls / Mitigation</t>
        </is>
      </c>
      <c r="I7" s="32" t="inlineStr">
        <is>
          <t>Contingency Plan (if risk occurs)</t>
        </is>
      </c>
      <c r="J7" s="32" t="inlineStr">
        <is>
          <t>Owner</t>
        </is>
      </c>
      <c r="K7" s="32" t="inlineStr">
        <is>
          <t>Target
Date</t>
        </is>
      </c>
      <c r="L7" s="32" t="inlineStr">
        <is>
          <t>Review
Date</t>
        </is>
      </c>
      <c r="M7" s="32" t="inlineStr">
        <is>
          <t>Status</t>
        </is>
      </c>
      <c r="N7" s="32" t="inlineStr">
        <is>
          <t>Residual
Likelihood</t>
        </is>
      </c>
      <c r="O7" s="32" t="inlineStr">
        <is>
          <t>Residual
Impact</t>
        </is>
      </c>
      <c r="P7" s="32" t="inlineStr">
        <is>
          <t>Residual
Score</t>
        </is>
      </c>
      <c r="Q7" s="32" t="inlineStr">
        <is>
          <t>Notes</t>
        </is>
      </c>
    </row>
    <row r="8" ht="15" customHeight="1" s="25">
      <c r="A8" s="33" t="inlineStr">
        <is>
          <t xml:space="preserve">  SCORING: Likelihood × Impact = Risk Score  |  1–4 = Low  |  5–9 = Medium  |  10–25 = High  |  CATEGORIES: Technical · Schedule · Commercial · Resource · Quality · Compliance · IT Security · Reputational · H&amp;S</t>
        </is>
      </c>
    </row>
    <row r="9" ht="21.75" customHeight="1" s="25">
      <c r="A9" s="34" t="inlineStr">
        <is>
          <t>R001</t>
        </is>
      </c>
      <c r="B9" s="35" t="n"/>
      <c r="C9" s="35" t="n"/>
      <c r="D9" s="36" t="n"/>
      <c r="E9" s="36" t="n"/>
      <c r="F9" s="37">
        <f>IF(OR(D9="",E9=""),"",D9*E9)</f>
        <v/>
      </c>
      <c r="G9" s="38">
        <f>IF(F9="","",IF(F9&gt;=10,"HIGH",IF(F9&gt;=5,"MEDIUM","LOW")))</f>
        <v/>
      </c>
      <c r="H9" s="35" t="n"/>
      <c r="I9" s="35" t="n"/>
      <c r="J9" s="35" t="n"/>
      <c r="K9" s="35" t="n"/>
      <c r="L9" s="35" t="n"/>
      <c r="M9" s="36" t="n"/>
      <c r="N9" s="36" t="n"/>
      <c r="O9" s="36" t="n"/>
      <c r="P9" s="37">
        <f>IF(OR(N9="",O9=""),"",N9*O9)</f>
        <v/>
      </c>
      <c r="Q9" s="35" t="n"/>
    </row>
    <row r="10" ht="21.75" customHeight="1" s="25">
      <c r="A10" s="34" t="inlineStr">
        <is>
          <t>R002</t>
        </is>
      </c>
      <c r="B10" s="39" t="n"/>
      <c r="C10" s="39" t="n"/>
      <c r="D10" s="40" t="n"/>
      <c r="E10" s="40" t="n"/>
      <c r="F10" s="41">
        <f>IF(OR(D10="",E10=""),"",D10*E10)</f>
        <v/>
      </c>
      <c r="G10" s="42">
        <f>IF(F10="","",IF(F10&gt;=10,"HIGH",IF(F10&gt;=5,"MEDIUM","LOW")))</f>
        <v/>
      </c>
      <c r="H10" s="39" t="n"/>
      <c r="I10" s="39" t="n"/>
      <c r="J10" s="39" t="n"/>
      <c r="K10" s="39" t="n"/>
      <c r="L10" s="39" t="n"/>
      <c r="M10" s="40" t="n"/>
      <c r="N10" s="40" t="n"/>
      <c r="O10" s="40" t="n"/>
      <c r="P10" s="41">
        <f>IF(OR(N10="",O10=""),"",N10*O10)</f>
        <v/>
      </c>
      <c r="Q10" s="39" t="n"/>
    </row>
    <row r="11" ht="21.75" customHeight="1" s="25">
      <c r="A11" s="34" t="inlineStr">
        <is>
          <t>R003</t>
        </is>
      </c>
      <c r="B11" s="35" t="n"/>
      <c r="C11" s="35" t="n"/>
      <c r="D11" s="36" t="n"/>
      <c r="E11" s="36" t="n"/>
      <c r="F11" s="37">
        <f>IF(OR(D11="",E11=""),"",D11*E11)</f>
        <v/>
      </c>
      <c r="G11" s="38">
        <f>IF(F11="","",IF(F11&gt;=10,"HIGH",IF(F11&gt;=5,"MEDIUM","LOW")))</f>
        <v/>
      </c>
      <c r="H11" s="35" t="n"/>
      <c r="I11" s="35" t="n"/>
      <c r="J11" s="35" t="n"/>
      <c r="K11" s="35" t="n"/>
      <c r="L11" s="35" t="n"/>
      <c r="M11" s="36" t="n"/>
      <c r="N11" s="36" t="n"/>
      <c r="O11" s="36" t="n"/>
      <c r="P11" s="37">
        <f>IF(OR(N11="",O11=""),"",N11*O11)</f>
        <v/>
      </c>
      <c r="Q11" s="35" t="n"/>
    </row>
    <row r="12" ht="21.75" customHeight="1" s="25">
      <c r="A12" s="34" t="inlineStr">
        <is>
          <t>R004</t>
        </is>
      </c>
      <c r="B12" s="39" t="n"/>
      <c r="C12" s="39" t="n"/>
      <c r="D12" s="40" t="n"/>
      <c r="E12" s="40" t="n"/>
      <c r="F12" s="41">
        <f>IF(OR(D12="",E12=""),"",D12*E12)</f>
        <v/>
      </c>
      <c r="G12" s="42">
        <f>IF(F12="","",IF(F12&gt;=10,"HIGH",IF(F12&gt;=5,"MEDIUM","LOW")))</f>
        <v/>
      </c>
      <c r="H12" s="39" t="n"/>
      <c r="I12" s="39" t="n"/>
      <c r="J12" s="39" t="n"/>
      <c r="K12" s="39" t="n"/>
      <c r="L12" s="39" t="n"/>
      <c r="M12" s="40" t="n"/>
      <c r="N12" s="40" t="n"/>
      <c r="O12" s="40" t="n"/>
      <c r="P12" s="41">
        <f>IF(OR(N12="",O12=""),"",N12*O12)</f>
        <v/>
      </c>
      <c r="Q12" s="39" t="n"/>
    </row>
    <row r="13" ht="21.75" customHeight="1" s="25">
      <c r="A13" s="34" t="inlineStr">
        <is>
          <t>R005</t>
        </is>
      </c>
      <c r="B13" s="35" t="n"/>
      <c r="C13" s="35" t="n"/>
      <c r="D13" s="36" t="n"/>
      <c r="E13" s="36" t="n"/>
      <c r="F13" s="37">
        <f>IF(OR(D13="",E13=""),"",D13*E13)</f>
        <v/>
      </c>
      <c r="G13" s="38">
        <f>IF(F13="","",IF(F13&gt;=10,"HIGH",IF(F13&gt;=5,"MEDIUM","LOW")))</f>
        <v/>
      </c>
      <c r="H13" s="35" t="n"/>
      <c r="I13" s="35" t="n"/>
      <c r="J13" s="35" t="n"/>
      <c r="K13" s="35" t="n"/>
      <c r="L13" s="35" t="n"/>
      <c r="M13" s="36" t="n"/>
      <c r="N13" s="36" t="n"/>
      <c r="O13" s="36" t="n"/>
      <c r="P13" s="37">
        <f>IF(OR(N13="",O13=""),"",N13*O13)</f>
        <v/>
      </c>
      <c r="Q13" s="35" t="n"/>
    </row>
    <row r="14" ht="21.75" customHeight="1" s="25">
      <c r="A14" s="34" t="inlineStr">
        <is>
          <t>R006</t>
        </is>
      </c>
      <c r="B14" s="39" t="n"/>
      <c r="C14" s="39" t="n"/>
      <c r="D14" s="40" t="n"/>
      <c r="E14" s="40" t="n"/>
      <c r="F14" s="41">
        <f>IF(OR(D14="",E14=""),"",D14*E14)</f>
        <v/>
      </c>
      <c r="G14" s="42">
        <f>IF(F14="","",IF(F14&gt;=10,"HIGH",IF(F14&gt;=5,"MEDIUM","LOW")))</f>
        <v/>
      </c>
      <c r="H14" s="39" t="n"/>
      <c r="I14" s="39" t="n"/>
      <c r="J14" s="39" t="n"/>
      <c r="K14" s="39" t="n"/>
      <c r="L14" s="39" t="n"/>
      <c r="M14" s="40" t="n"/>
      <c r="N14" s="40" t="n"/>
      <c r="O14" s="40" t="n"/>
      <c r="P14" s="41">
        <f>IF(OR(N14="",O14=""),"",N14*O14)</f>
        <v/>
      </c>
      <c r="Q14" s="39" t="n"/>
    </row>
    <row r="15" ht="21.75" customHeight="1" s="25">
      <c r="A15" s="34" t="inlineStr">
        <is>
          <t>R007</t>
        </is>
      </c>
      <c r="B15" s="35" t="n"/>
      <c r="C15" s="35" t="n"/>
      <c r="D15" s="36" t="n"/>
      <c r="E15" s="36" t="n"/>
      <c r="F15" s="37">
        <f>IF(OR(D15="",E15=""),"",D15*E15)</f>
        <v/>
      </c>
      <c r="G15" s="38">
        <f>IF(F15="","",IF(F15&gt;=10,"HIGH",IF(F15&gt;=5,"MEDIUM","LOW")))</f>
        <v/>
      </c>
      <c r="H15" s="35" t="n"/>
      <c r="I15" s="35" t="n"/>
      <c r="J15" s="35" t="n"/>
      <c r="K15" s="35" t="n"/>
      <c r="L15" s="35" t="n"/>
      <c r="M15" s="36" t="n"/>
      <c r="N15" s="36" t="n"/>
      <c r="O15" s="36" t="n"/>
      <c r="P15" s="37">
        <f>IF(OR(N15="",O15=""),"",N15*O15)</f>
        <v/>
      </c>
      <c r="Q15" s="35" t="n"/>
    </row>
    <row r="16" ht="21.75" customHeight="1" s="25">
      <c r="A16" s="34" t="inlineStr">
        <is>
          <t>R008</t>
        </is>
      </c>
      <c r="B16" s="39" t="n"/>
      <c r="C16" s="39" t="n"/>
      <c r="D16" s="40" t="n"/>
      <c r="E16" s="40" t="n"/>
      <c r="F16" s="41">
        <f>IF(OR(D16="",E16=""),"",D16*E16)</f>
        <v/>
      </c>
      <c r="G16" s="42">
        <f>IF(F16="","",IF(F16&gt;=10,"HIGH",IF(F16&gt;=5,"MEDIUM","LOW")))</f>
        <v/>
      </c>
      <c r="H16" s="39" t="n"/>
      <c r="I16" s="39" t="n"/>
      <c r="J16" s="39" t="n"/>
      <c r="K16" s="39" t="n"/>
      <c r="L16" s="39" t="n"/>
      <c r="M16" s="40" t="n"/>
      <c r="N16" s="40" t="n"/>
      <c r="O16" s="40" t="n"/>
      <c r="P16" s="41">
        <f>IF(OR(N16="",O16=""),"",N16*O16)</f>
        <v/>
      </c>
      <c r="Q16" s="39" t="n"/>
    </row>
    <row r="17" ht="21.75" customHeight="1" s="25">
      <c r="A17" s="34" t="inlineStr">
        <is>
          <t>R009</t>
        </is>
      </c>
      <c r="B17" s="35" t="n"/>
      <c r="C17" s="35" t="n"/>
      <c r="D17" s="36" t="n"/>
      <c r="E17" s="36" t="n"/>
      <c r="F17" s="37">
        <f>IF(OR(D17="",E17=""),"",D17*E17)</f>
        <v/>
      </c>
      <c r="G17" s="38">
        <f>IF(F17="","",IF(F17&gt;=10,"HIGH",IF(F17&gt;=5,"MEDIUM","LOW")))</f>
        <v/>
      </c>
      <c r="H17" s="35" t="n"/>
      <c r="I17" s="35" t="n"/>
      <c r="J17" s="35" t="n"/>
      <c r="K17" s="35" t="n"/>
      <c r="L17" s="35" t="n"/>
      <c r="M17" s="36" t="n"/>
      <c r="N17" s="36" t="n"/>
      <c r="O17" s="36" t="n"/>
      <c r="P17" s="37">
        <f>IF(OR(N17="",O17=""),"",N17*O17)</f>
        <v/>
      </c>
      <c r="Q17" s="35" t="n"/>
    </row>
    <row r="18" ht="21.75" customHeight="1" s="25">
      <c r="A18" s="34" t="inlineStr">
        <is>
          <t>R010</t>
        </is>
      </c>
      <c r="B18" s="39" t="n"/>
      <c r="C18" s="39" t="n"/>
      <c r="D18" s="40" t="n"/>
      <c r="E18" s="40" t="n"/>
      <c r="F18" s="41">
        <f>IF(OR(D18="",E18=""),"",D18*E18)</f>
        <v/>
      </c>
      <c r="G18" s="42">
        <f>IF(F18="","",IF(F18&gt;=10,"HIGH",IF(F18&gt;=5,"MEDIUM","LOW")))</f>
        <v/>
      </c>
      <c r="H18" s="39" t="n"/>
      <c r="I18" s="39" t="n"/>
      <c r="J18" s="39" t="n"/>
      <c r="K18" s="39" t="n"/>
      <c r="L18" s="39" t="n"/>
      <c r="M18" s="40" t="n"/>
      <c r="N18" s="40" t="n"/>
      <c r="O18" s="40" t="n"/>
      <c r="P18" s="41">
        <f>IF(OR(N18="",O18=""),"",N18*O18)</f>
        <v/>
      </c>
      <c r="Q18" s="39" t="n"/>
    </row>
    <row r="19" ht="21.75" customHeight="1" s="25">
      <c r="A19" s="34" t="inlineStr">
        <is>
          <t>R011</t>
        </is>
      </c>
      <c r="B19" s="35" t="n"/>
      <c r="C19" s="35" t="n"/>
      <c r="D19" s="36" t="n"/>
      <c r="E19" s="36" t="n"/>
      <c r="F19" s="37">
        <f>IF(OR(D19="",E19=""),"",D19*E19)</f>
        <v/>
      </c>
      <c r="G19" s="38">
        <f>IF(F19="","",IF(F19&gt;=10,"HIGH",IF(F19&gt;=5,"MEDIUM","LOW")))</f>
        <v/>
      </c>
      <c r="H19" s="35" t="n"/>
      <c r="I19" s="35" t="n"/>
      <c r="J19" s="35" t="n"/>
      <c r="K19" s="35" t="n"/>
      <c r="L19" s="35" t="n"/>
      <c r="M19" s="36" t="n"/>
      <c r="N19" s="36" t="n"/>
      <c r="O19" s="36" t="n"/>
      <c r="P19" s="37">
        <f>IF(OR(N19="",O19=""),"",N19*O19)</f>
        <v/>
      </c>
      <c r="Q19" s="35" t="n"/>
    </row>
    <row r="20" ht="21.75" customHeight="1" s="25">
      <c r="A20" s="34" t="inlineStr">
        <is>
          <t>R012</t>
        </is>
      </c>
      <c r="B20" s="39" t="n"/>
      <c r="C20" s="39" t="n"/>
      <c r="D20" s="40" t="n"/>
      <c r="E20" s="40" t="n"/>
      <c r="F20" s="41">
        <f>IF(OR(D20="",E20=""),"",D20*E20)</f>
        <v/>
      </c>
      <c r="G20" s="42">
        <f>IF(F20="","",IF(F20&gt;=10,"HIGH",IF(F20&gt;=5,"MEDIUM","LOW")))</f>
        <v/>
      </c>
      <c r="H20" s="39" t="n"/>
      <c r="I20" s="39" t="n"/>
      <c r="J20" s="39" t="n"/>
      <c r="K20" s="39" t="n"/>
      <c r="L20" s="39" t="n"/>
      <c r="M20" s="40" t="n"/>
      <c r="N20" s="40" t="n"/>
      <c r="O20" s="40" t="n"/>
      <c r="P20" s="41">
        <f>IF(OR(N20="",O20=""),"",N20*O20)</f>
        <v/>
      </c>
      <c r="Q20" s="39" t="n"/>
    </row>
    <row r="21" ht="21.75" customHeight="1" s="25">
      <c r="A21" s="34" t="inlineStr">
        <is>
          <t>R013</t>
        </is>
      </c>
      <c r="B21" s="35" t="n"/>
      <c r="C21" s="35" t="n"/>
      <c r="D21" s="36" t="n"/>
      <c r="E21" s="36" t="n"/>
      <c r="F21" s="37">
        <f>IF(OR(D21="",E21=""),"",D21*E21)</f>
        <v/>
      </c>
      <c r="G21" s="38">
        <f>IF(F21="","",IF(F21&gt;=10,"HIGH",IF(F21&gt;=5,"MEDIUM","LOW")))</f>
        <v/>
      </c>
      <c r="H21" s="35" t="n"/>
      <c r="I21" s="35" t="n"/>
      <c r="J21" s="35" t="n"/>
      <c r="K21" s="35" t="n"/>
      <c r="L21" s="35" t="n"/>
      <c r="M21" s="36" t="n"/>
      <c r="N21" s="36" t="n"/>
      <c r="O21" s="36" t="n"/>
      <c r="P21" s="37">
        <f>IF(OR(N21="",O21=""),"",N21*O21)</f>
        <v/>
      </c>
      <c r="Q21" s="35" t="n"/>
    </row>
    <row r="22" ht="21.75" customHeight="1" s="25">
      <c r="A22" s="34" t="inlineStr">
        <is>
          <t>R014</t>
        </is>
      </c>
      <c r="B22" s="39" t="n"/>
      <c r="C22" s="39" t="n"/>
      <c r="D22" s="40" t="n"/>
      <c r="E22" s="40" t="n"/>
      <c r="F22" s="41">
        <f>IF(OR(D22="",E22=""),"",D22*E22)</f>
        <v/>
      </c>
      <c r="G22" s="42">
        <f>IF(F22="","",IF(F22&gt;=10,"HIGH",IF(F22&gt;=5,"MEDIUM","LOW")))</f>
        <v/>
      </c>
      <c r="H22" s="39" t="n"/>
      <c r="I22" s="39" t="n"/>
      <c r="J22" s="39" t="n"/>
      <c r="K22" s="39" t="n"/>
      <c r="L22" s="39" t="n"/>
      <c r="M22" s="40" t="n"/>
      <c r="N22" s="40" t="n"/>
      <c r="O22" s="40" t="n"/>
      <c r="P22" s="41">
        <f>IF(OR(N22="",O22=""),"",N22*O22)</f>
        <v/>
      </c>
      <c r="Q22" s="39" t="n"/>
    </row>
    <row r="23" ht="21.75" customHeight="1" s="25">
      <c r="A23" s="34" t="inlineStr">
        <is>
          <t>R015</t>
        </is>
      </c>
      <c r="B23" s="35" t="n"/>
      <c r="C23" s="35" t="n"/>
      <c r="D23" s="36" t="n"/>
      <c r="E23" s="36" t="n"/>
      <c r="F23" s="37">
        <f>IF(OR(D23="",E23=""),"",D23*E23)</f>
        <v/>
      </c>
      <c r="G23" s="38">
        <f>IF(F23="","",IF(F23&gt;=10,"HIGH",IF(F23&gt;=5,"MEDIUM","LOW")))</f>
        <v/>
      </c>
      <c r="H23" s="35" t="n"/>
      <c r="I23" s="35" t="n"/>
      <c r="J23" s="35" t="n"/>
      <c r="K23" s="35" t="n"/>
      <c r="L23" s="35" t="n"/>
      <c r="M23" s="36" t="n"/>
      <c r="N23" s="36" t="n"/>
      <c r="O23" s="36" t="n"/>
      <c r="P23" s="37">
        <f>IF(OR(N23="",O23=""),"",N23*O23)</f>
        <v/>
      </c>
      <c r="Q23" s="35" t="n"/>
    </row>
    <row r="24" ht="21.75" customHeight="1" s="25">
      <c r="A24" s="34" t="inlineStr">
        <is>
          <t>R016</t>
        </is>
      </c>
      <c r="B24" s="39" t="n"/>
      <c r="C24" s="39" t="n"/>
      <c r="D24" s="40" t="n"/>
      <c r="E24" s="40" t="n"/>
      <c r="F24" s="41">
        <f>IF(OR(D24="",E24=""),"",D24*E24)</f>
        <v/>
      </c>
      <c r="G24" s="42">
        <f>IF(F24="","",IF(F24&gt;=10,"HIGH",IF(F24&gt;=5,"MEDIUM","LOW")))</f>
        <v/>
      </c>
      <c r="H24" s="39" t="n"/>
      <c r="I24" s="39" t="n"/>
      <c r="J24" s="39" t="n"/>
      <c r="K24" s="39" t="n"/>
      <c r="L24" s="39" t="n"/>
      <c r="M24" s="40" t="n"/>
      <c r="N24" s="40" t="n"/>
      <c r="O24" s="40" t="n"/>
      <c r="P24" s="41">
        <f>IF(OR(N24="",O24=""),"",N24*O24)</f>
        <v/>
      </c>
      <c r="Q24" s="39" t="n"/>
    </row>
    <row r="25" ht="21.75" customHeight="1" s="25">
      <c r="A25" s="34" t="inlineStr">
        <is>
          <t>R017</t>
        </is>
      </c>
      <c r="B25" s="35" t="n"/>
      <c r="C25" s="35" t="n"/>
      <c r="D25" s="36" t="n"/>
      <c r="E25" s="36" t="n"/>
      <c r="F25" s="37">
        <f>IF(OR(D25="",E25=""),"",D25*E25)</f>
        <v/>
      </c>
      <c r="G25" s="38">
        <f>IF(F25="","",IF(F25&gt;=10,"HIGH",IF(F25&gt;=5,"MEDIUM","LOW")))</f>
        <v/>
      </c>
      <c r="H25" s="35" t="n"/>
      <c r="I25" s="35" t="n"/>
      <c r="J25" s="35" t="n"/>
      <c r="K25" s="35" t="n"/>
      <c r="L25" s="35" t="n"/>
      <c r="M25" s="36" t="n"/>
      <c r="N25" s="36" t="n"/>
      <c r="O25" s="36" t="n"/>
      <c r="P25" s="37">
        <f>IF(OR(N25="",O25=""),"",N25*O25)</f>
        <v/>
      </c>
      <c r="Q25" s="35" t="n"/>
    </row>
    <row r="26" ht="21.75" customHeight="1" s="25">
      <c r="A26" s="34" t="inlineStr">
        <is>
          <t>R018</t>
        </is>
      </c>
      <c r="B26" s="39" t="n"/>
      <c r="C26" s="39" t="n"/>
      <c r="D26" s="40" t="n"/>
      <c r="E26" s="40" t="n"/>
      <c r="F26" s="41">
        <f>IF(OR(D26="",E26=""),"",D26*E26)</f>
        <v/>
      </c>
      <c r="G26" s="42">
        <f>IF(F26="","",IF(F26&gt;=10,"HIGH",IF(F26&gt;=5,"MEDIUM","LOW")))</f>
        <v/>
      </c>
      <c r="H26" s="39" t="n"/>
      <c r="I26" s="39" t="n"/>
      <c r="J26" s="39" t="n"/>
      <c r="K26" s="39" t="n"/>
      <c r="L26" s="39" t="n"/>
      <c r="M26" s="40" t="n"/>
      <c r="N26" s="40" t="n"/>
      <c r="O26" s="40" t="n"/>
      <c r="P26" s="41">
        <f>IF(OR(N26="",O26=""),"",N26*O26)</f>
        <v/>
      </c>
      <c r="Q26" s="39" t="n"/>
    </row>
    <row r="27" ht="21.75" customHeight="1" s="25">
      <c r="A27" s="34" t="inlineStr">
        <is>
          <t>R019</t>
        </is>
      </c>
      <c r="B27" s="35" t="n"/>
      <c r="C27" s="35" t="n"/>
      <c r="D27" s="36" t="n"/>
      <c r="E27" s="36" t="n"/>
      <c r="F27" s="37">
        <f>IF(OR(D27="",E27=""),"",D27*E27)</f>
        <v/>
      </c>
      <c r="G27" s="38">
        <f>IF(F27="","",IF(F27&gt;=10,"HIGH",IF(F27&gt;=5,"MEDIUM","LOW")))</f>
        <v/>
      </c>
      <c r="H27" s="35" t="n"/>
      <c r="I27" s="35" t="n"/>
      <c r="J27" s="35" t="n"/>
      <c r="K27" s="35" t="n"/>
      <c r="L27" s="35" t="n"/>
      <c r="M27" s="36" t="n"/>
      <c r="N27" s="36" t="n"/>
      <c r="O27" s="36" t="n"/>
      <c r="P27" s="37">
        <f>IF(OR(N27="",O27=""),"",N27*O27)</f>
        <v/>
      </c>
      <c r="Q27" s="35" t="n"/>
    </row>
    <row r="28" ht="21.75" customHeight="1" s="25">
      <c r="A28" s="34" t="inlineStr">
        <is>
          <t>R020</t>
        </is>
      </c>
      <c r="B28" s="39" t="n"/>
      <c r="C28" s="39" t="n"/>
      <c r="D28" s="40" t="n"/>
      <c r="E28" s="40" t="n"/>
      <c r="F28" s="41">
        <f>IF(OR(D28="",E28=""),"",D28*E28)</f>
        <v/>
      </c>
      <c r="G28" s="42">
        <f>IF(F28="","",IF(F28&gt;=10,"HIGH",IF(F28&gt;=5,"MEDIUM","LOW")))</f>
        <v/>
      </c>
      <c r="H28" s="39" t="n"/>
      <c r="I28" s="39" t="n"/>
      <c r="J28" s="39" t="n"/>
      <c r="K28" s="39" t="n"/>
      <c r="L28" s="39" t="n"/>
      <c r="M28" s="40" t="n"/>
      <c r="N28" s="40" t="n"/>
      <c r="O28" s="40" t="n"/>
      <c r="P28" s="41">
        <f>IF(OR(N28="",O28=""),"",N28*O28)</f>
        <v/>
      </c>
      <c r="Q28" s="39" t="n"/>
    </row>
    <row r="29" ht="21.75" customHeight="1" s="25">
      <c r="A29" s="34" t="inlineStr">
        <is>
          <t>R021</t>
        </is>
      </c>
      <c r="B29" s="35" t="n"/>
      <c r="C29" s="35" t="n"/>
      <c r="D29" s="36" t="n"/>
      <c r="E29" s="36" t="n"/>
      <c r="F29" s="37">
        <f>IF(OR(D29="",E29=""),"",D29*E29)</f>
        <v/>
      </c>
      <c r="G29" s="38">
        <f>IF(F29="","",IF(F29&gt;=10,"HIGH",IF(F29&gt;=5,"MEDIUM","LOW")))</f>
        <v/>
      </c>
      <c r="H29" s="35" t="n"/>
      <c r="I29" s="35" t="n"/>
      <c r="J29" s="35" t="n"/>
      <c r="K29" s="35" t="n"/>
      <c r="L29" s="35" t="n"/>
      <c r="M29" s="36" t="n"/>
      <c r="N29" s="36" t="n"/>
      <c r="O29" s="36" t="n"/>
      <c r="P29" s="37">
        <f>IF(OR(N29="",O29=""),"",N29*O29)</f>
        <v/>
      </c>
      <c r="Q29" s="35" t="n"/>
    </row>
    <row r="30" ht="21.75" customHeight="1" s="25">
      <c r="A30" s="34" t="inlineStr">
        <is>
          <t>R022</t>
        </is>
      </c>
      <c r="B30" s="39" t="n"/>
      <c r="C30" s="39" t="n"/>
      <c r="D30" s="40" t="n"/>
      <c r="E30" s="40" t="n"/>
      <c r="F30" s="41">
        <f>IF(OR(D30="",E30=""),"",D30*E30)</f>
        <v/>
      </c>
      <c r="G30" s="42">
        <f>IF(F30="","",IF(F30&gt;=10,"HIGH",IF(F30&gt;=5,"MEDIUM","LOW")))</f>
        <v/>
      </c>
      <c r="H30" s="39" t="n"/>
      <c r="I30" s="39" t="n"/>
      <c r="J30" s="39" t="n"/>
      <c r="K30" s="39" t="n"/>
      <c r="L30" s="39" t="n"/>
      <c r="M30" s="40" t="n"/>
      <c r="N30" s="40" t="n"/>
      <c r="O30" s="40" t="n"/>
      <c r="P30" s="41">
        <f>IF(OR(N30="",O30=""),"",N30*O30)</f>
        <v/>
      </c>
      <c r="Q30" s="39" t="n"/>
    </row>
    <row r="31" ht="21.75" customHeight="1" s="25">
      <c r="A31" s="34" t="inlineStr">
        <is>
          <t>R023</t>
        </is>
      </c>
      <c r="B31" s="35" t="n"/>
      <c r="C31" s="35" t="n"/>
      <c r="D31" s="36" t="n"/>
      <c r="E31" s="36" t="n"/>
      <c r="F31" s="37">
        <f>IF(OR(D31="",E31=""),"",D31*E31)</f>
        <v/>
      </c>
      <c r="G31" s="38">
        <f>IF(F31="","",IF(F31&gt;=10,"HIGH",IF(F31&gt;=5,"MEDIUM","LOW")))</f>
        <v/>
      </c>
      <c r="H31" s="35" t="n"/>
      <c r="I31" s="35" t="n"/>
      <c r="J31" s="35" t="n"/>
      <c r="K31" s="35" t="n"/>
      <c r="L31" s="35" t="n"/>
      <c r="M31" s="36" t="n"/>
      <c r="N31" s="36" t="n"/>
      <c r="O31" s="36" t="n"/>
      <c r="P31" s="37">
        <f>IF(OR(N31="",O31=""),"",N31*O31)</f>
        <v/>
      </c>
      <c r="Q31" s="35" t="n"/>
    </row>
    <row r="32" ht="21.75" customHeight="1" s="25">
      <c r="A32" s="34" t="inlineStr">
        <is>
          <t>R024</t>
        </is>
      </c>
      <c r="B32" s="39" t="n"/>
      <c r="C32" s="39" t="n"/>
      <c r="D32" s="40" t="n"/>
      <c r="E32" s="40" t="n"/>
      <c r="F32" s="41">
        <f>IF(OR(D32="",E32=""),"",D32*E32)</f>
        <v/>
      </c>
      <c r="G32" s="42">
        <f>IF(F32="","",IF(F32&gt;=10,"HIGH",IF(F32&gt;=5,"MEDIUM","LOW")))</f>
        <v/>
      </c>
      <c r="H32" s="39" t="n"/>
      <c r="I32" s="39" t="n"/>
      <c r="J32" s="39" t="n"/>
      <c r="K32" s="39" t="n"/>
      <c r="L32" s="39" t="n"/>
      <c r="M32" s="40" t="n"/>
      <c r="N32" s="40" t="n"/>
      <c r="O32" s="40" t="n"/>
      <c r="P32" s="41">
        <f>IF(OR(N32="",O32=""),"",N32*O32)</f>
        <v/>
      </c>
      <c r="Q32" s="39" t="n"/>
    </row>
    <row r="33" ht="21.75" customHeight="1" s="25">
      <c r="A33" s="34" t="inlineStr">
        <is>
          <t>R025</t>
        </is>
      </c>
      <c r="B33" s="35" t="n"/>
      <c r="C33" s="35" t="n"/>
      <c r="D33" s="36" t="n"/>
      <c r="E33" s="36" t="n"/>
      <c r="F33" s="37">
        <f>IF(OR(D33="",E33=""),"",D33*E33)</f>
        <v/>
      </c>
      <c r="G33" s="38">
        <f>IF(F33="","",IF(F33&gt;=10,"HIGH",IF(F33&gt;=5,"MEDIUM","LOW")))</f>
        <v/>
      </c>
      <c r="H33" s="35" t="n"/>
      <c r="I33" s="35" t="n"/>
      <c r="J33" s="35" t="n"/>
      <c r="K33" s="35" t="n"/>
      <c r="L33" s="35" t="n"/>
      <c r="M33" s="36" t="n"/>
      <c r="N33" s="36" t="n"/>
      <c r="O33" s="36" t="n"/>
      <c r="P33" s="37">
        <f>IF(OR(N33="",O33=""),"",N33*O33)</f>
        <v/>
      </c>
      <c r="Q33" s="35" t="n"/>
    </row>
    <row r="34" ht="21.75" customHeight="1" s="25">
      <c r="A34" s="34" t="inlineStr">
        <is>
          <t>R026</t>
        </is>
      </c>
      <c r="B34" s="39" t="n"/>
      <c r="C34" s="39" t="n"/>
      <c r="D34" s="40" t="n"/>
      <c r="E34" s="40" t="n"/>
      <c r="F34" s="41">
        <f>IF(OR(D34="",E34=""),"",D34*E34)</f>
        <v/>
      </c>
      <c r="G34" s="42">
        <f>IF(F34="","",IF(F34&gt;=10,"HIGH",IF(F34&gt;=5,"MEDIUM","LOW")))</f>
        <v/>
      </c>
      <c r="H34" s="39" t="n"/>
      <c r="I34" s="39" t="n"/>
      <c r="J34" s="39" t="n"/>
      <c r="K34" s="39" t="n"/>
      <c r="L34" s="39" t="n"/>
      <c r="M34" s="40" t="n"/>
      <c r="N34" s="40" t="n"/>
      <c r="O34" s="40" t="n"/>
      <c r="P34" s="41">
        <f>IF(OR(N34="",O34=""),"",N34*O34)</f>
        <v/>
      </c>
      <c r="Q34" s="39" t="n"/>
    </row>
    <row r="35" ht="21.75" customHeight="1" s="25">
      <c r="A35" s="34" t="inlineStr">
        <is>
          <t>R027</t>
        </is>
      </c>
      <c r="B35" s="35" t="n"/>
      <c r="C35" s="35" t="n"/>
      <c r="D35" s="36" t="n"/>
      <c r="E35" s="36" t="n"/>
      <c r="F35" s="37">
        <f>IF(OR(D35="",E35=""),"",D35*E35)</f>
        <v/>
      </c>
      <c r="G35" s="38">
        <f>IF(F35="","",IF(F35&gt;=10,"HIGH",IF(F35&gt;=5,"MEDIUM","LOW")))</f>
        <v/>
      </c>
      <c r="H35" s="35" t="n"/>
      <c r="I35" s="35" t="n"/>
      <c r="J35" s="35" t="n"/>
      <c r="K35" s="35" t="n"/>
      <c r="L35" s="35" t="n"/>
      <c r="M35" s="36" t="n"/>
      <c r="N35" s="36" t="n"/>
      <c r="O35" s="36" t="n"/>
      <c r="P35" s="37">
        <f>IF(OR(N35="",O35=""),"",N35*O35)</f>
        <v/>
      </c>
      <c r="Q35" s="35" t="n"/>
    </row>
    <row r="36" ht="21.75" customHeight="1" s="25">
      <c r="A36" s="34" t="inlineStr">
        <is>
          <t>R028</t>
        </is>
      </c>
      <c r="B36" s="39" t="n"/>
      <c r="C36" s="39" t="n"/>
      <c r="D36" s="40" t="n"/>
      <c r="E36" s="40" t="n"/>
      <c r="F36" s="41">
        <f>IF(OR(D36="",E36=""),"",D36*E36)</f>
        <v/>
      </c>
      <c r="G36" s="42">
        <f>IF(F36="","",IF(F36&gt;=10,"HIGH",IF(F36&gt;=5,"MEDIUM","LOW")))</f>
        <v/>
      </c>
      <c r="H36" s="39" t="n"/>
      <c r="I36" s="39" t="n"/>
      <c r="J36" s="39" t="n"/>
      <c r="K36" s="39" t="n"/>
      <c r="L36" s="39" t="n"/>
      <c r="M36" s="40" t="n"/>
      <c r="N36" s="40" t="n"/>
      <c r="O36" s="40" t="n"/>
      <c r="P36" s="41">
        <f>IF(OR(N36="",O36=""),"",N36*O36)</f>
        <v/>
      </c>
      <c r="Q36" s="39" t="n"/>
    </row>
    <row r="37" ht="21.75" customHeight="1" s="25">
      <c r="A37" s="34" t="inlineStr">
        <is>
          <t>R029</t>
        </is>
      </c>
      <c r="B37" s="35" t="n"/>
      <c r="C37" s="35" t="n"/>
      <c r="D37" s="36" t="n"/>
      <c r="E37" s="36" t="n"/>
      <c r="F37" s="37">
        <f>IF(OR(D37="",E37=""),"",D37*E37)</f>
        <v/>
      </c>
      <c r="G37" s="38">
        <f>IF(F37="","",IF(F37&gt;=10,"HIGH",IF(F37&gt;=5,"MEDIUM","LOW")))</f>
        <v/>
      </c>
      <c r="H37" s="35" t="n"/>
      <c r="I37" s="35" t="n"/>
      <c r="J37" s="35" t="n"/>
      <c r="K37" s="35" t="n"/>
      <c r="L37" s="35" t="n"/>
      <c r="M37" s="36" t="n"/>
      <c r="N37" s="36" t="n"/>
      <c r="O37" s="36" t="n"/>
      <c r="P37" s="37">
        <f>IF(OR(N37="",O37=""),"",N37*O37)</f>
        <v/>
      </c>
      <c r="Q37" s="35" t="n"/>
    </row>
    <row r="38" ht="21.75" customHeight="1" s="25">
      <c r="A38" s="34" t="inlineStr">
        <is>
          <t>R030</t>
        </is>
      </c>
      <c r="B38" s="39" t="n"/>
      <c r="C38" s="39" t="n"/>
      <c r="D38" s="40" t="n"/>
      <c r="E38" s="40" t="n"/>
      <c r="F38" s="41">
        <f>IF(OR(D38="",E38=""),"",D38*E38)</f>
        <v/>
      </c>
      <c r="G38" s="42">
        <f>IF(F38="","",IF(F38&gt;=10,"HIGH",IF(F38&gt;=5,"MEDIUM","LOW")))</f>
        <v/>
      </c>
      <c r="H38" s="39" t="n"/>
      <c r="I38" s="39" t="n"/>
      <c r="J38" s="39" t="n"/>
      <c r="K38" s="39" t="n"/>
      <c r="L38" s="39" t="n"/>
      <c r="M38" s="40" t="n"/>
      <c r="N38" s="40" t="n"/>
      <c r="O38" s="40" t="n"/>
      <c r="P38" s="41">
        <f>IF(OR(N38="",O38=""),"",N38*O38)</f>
        <v/>
      </c>
      <c r="Q38" s="39" t="n"/>
    </row>
    <row r="39" ht="21.75" customHeight="1" s="25">
      <c r="A39" s="34" t="inlineStr">
        <is>
          <t>R031</t>
        </is>
      </c>
      <c r="B39" s="35" t="n"/>
      <c r="C39" s="35" t="n"/>
      <c r="D39" s="36" t="n"/>
      <c r="E39" s="36" t="n"/>
      <c r="F39" s="37">
        <f>IF(OR(D39="",E39=""),"",D39*E39)</f>
        <v/>
      </c>
      <c r="G39" s="38">
        <f>IF(F39="","",IF(F39&gt;=10,"HIGH",IF(F39&gt;=5,"MEDIUM","LOW")))</f>
        <v/>
      </c>
      <c r="H39" s="35" t="n"/>
      <c r="I39" s="35" t="n"/>
      <c r="J39" s="35" t="n"/>
      <c r="K39" s="35" t="n"/>
      <c r="L39" s="35" t="n"/>
      <c r="M39" s="36" t="n"/>
      <c r="N39" s="36" t="n"/>
      <c r="O39" s="36" t="n"/>
      <c r="P39" s="37">
        <f>IF(OR(N39="",O39=""),"",N39*O39)</f>
        <v/>
      </c>
      <c r="Q39" s="35" t="n"/>
    </row>
    <row r="40" ht="21.75" customHeight="1" s="25">
      <c r="A40" s="34" t="inlineStr">
        <is>
          <t>R032</t>
        </is>
      </c>
      <c r="B40" s="39" t="n"/>
      <c r="C40" s="39" t="n"/>
      <c r="D40" s="40" t="n"/>
      <c r="E40" s="40" t="n"/>
      <c r="F40" s="41">
        <f>IF(OR(D40="",E40=""),"",D40*E40)</f>
        <v/>
      </c>
      <c r="G40" s="42">
        <f>IF(F40="","",IF(F40&gt;=10,"HIGH",IF(F40&gt;=5,"MEDIUM","LOW")))</f>
        <v/>
      </c>
      <c r="H40" s="39" t="n"/>
      <c r="I40" s="39" t="n"/>
      <c r="J40" s="39" t="n"/>
      <c r="K40" s="39" t="n"/>
      <c r="L40" s="39" t="n"/>
      <c r="M40" s="40" t="n"/>
      <c r="N40" s="40" t="n"/>
      <c r="O40" s="40" t="n"/>
      <c r="P40" s="41">
        <f>IF(OR(N40="",O40=""),"",N40*O40)</f>
        <v/>
      </c>
      <c r="Q40" s="39" t="n"/>
    </row>
    <row r="41" ht="21.75" customHeight="1" s="25">
      <c r="A41" s="34" t="inlineStr">
        <is>
          <t>R033</t>
        </is>
      </c>
      <c r="B41" s="35" t="n"/>
      <c r="C41" s="35" t="n"/>
      <c r="D41" s="36" t="n"/>
      <c r="E41" s="36" t="n"/>
      <c r="F41" s="37">
        <f>IF(OR(D41="",E41=""),"",D41*E41)</f>
        <v/>
      </c>
      <c r="G41" s="38">
        <f>IF(F41="","",IF(F41&gt;=10,"HIGH",IF(F41&gt;=5,"MEDIUM","LOW")))</f>
        <v/>
      </c>
      <c r="H41" s="35" t="n"/>
      <c r="I41" s="35" t="n"/>
      <c r="J41" s="35" t="n"/>
      <c r="K41" s="35" t="n"/>
      <c r="L41" s="35" t="n"/>
      <c r="M41" s="36" t="n"/>
      <c r="N41" s="36" t="n"/>
      <c r="O41" s="36" t="n"/>
      <c r="P41" s="37">
        <f>IF(OR(N41="",O41=""),"",N41*O41)</f>
        <v/>
      </c>
      <c r="Q41" s="35" t="n"/>
    </row>
    <row r="42" ht="21.75" customHeight="1" s="25">
      <c r="A42" s="34" t="inlineStr">
        <is>
          <t>R034</t>
        </is>
      </c>
      <c r="B42" s="39" t="n"/>
      <c r="C42" s="39" t="n"/>
      <c r="D42" s="40" t="n"/>
      <c r="E42" s="40" t="n"/>
      <c r="F42" s="41">
        <f>IF(OR(D42="",E42=""),"",D42*E42)</f>
        <v/>
      </c>
      <c r="G42" s="42">
        <f>IF(F42="","",IF(F42&gt;=10,"HIGH",IF(F42&gt;=5,"MEDIUM","LOW")))</f>
        <v/>
      </c>
      <c r="H42" s="39" t="n"/>
      <c r="I42" s="39" t="n"/>
      <c r="J42" s="39" t="n"/>
      <c r="K42" s="39" t="n"/>
      <c r="L42" s="39" t="n"/>
      <c r="M42" s="40" t="n"/>
      <c r="N42" s="40" t="n"/>
      <c r="O42" s="40" t="n"/>
      <c r="P42" s="41">
        <f>IF(OR(N42="",O42=""),"",N42*O42)</f>
        <v/>
      </c>
      <c r="Q42" s="39" t="n"/>
    </row>
    <row r="43" ht="21.75" customHeight="1" s="25">
      <c r="A43" s="34" t="inlineStr">
        <is>
          <t>R035</t>
        </is>
      </c>
      <c r="B43" s="35" t="n"/>
      <c r="C43" s="35" t="n"/>
      <c r="D43" s="36" t="n"/>
      <c r="E43" s="36" t="n"/>
      <c r="F43" s="37">
        <f>IF(OR(D43="",E43=""),"",D43*E43)</f>
        <v/>
      </c>
      <c r="G43" s="38">
        <f>IF(F43="","",IF(F43&gt;=10,"HIGH",IF(F43&gt;=5,"MEDIUM","LOW")))</f>
        <v/>
      </c>
      <c r="H43" s="35" t="n"/>
      <c r="I43" s="35" t="n"/>
      <c r="J43" s="35" t="n"/>
      <c r="K43" s="35" t="n"/>
      <c r="L43" s="35" t="n"/>
      <c r="M43" s="36" t="n"/>
      <c r="N43" s="36" t="n"/>
      <c r="O43" s="36" t="n"/>
      <c r="P43" s="37">
        <f>IF(OR(N43="",O43=""),"",N43*O43)</f>
        <v/>
      </c>
      <c r="Q43" s="35" t="n"/>
    </row>
  </sheetData>
  <mergeCells count="12">
    <mergeCell ref="A4:B4"/>
    <mergeCell ref="J5:L5"/>
    <mergeCell ref="A8:Q8"/>
    <mergeCell ref="C4:G4"/>
    <mergeCell ref="N5:Q5"/>
    <mergeCell ref="A5:B5"/>
    <mergeCell ref="N4:Q4"/>
    <mergeCell ref="C5:G5"/>
    <mergeCell ref="H5:I5"/>
    <mergeCell ref="J4:L4"/>
    <mergeCell ref="H4:I4"/>
    <mergeCell ref="A1:Q1"/>
  </mergeCells>
  <dataValidations count="2">
    <dataValidation sqref="B9:B43" showDropDown="0" showInputMessage="0" showErrorMessage="1" allowBlank="1" errorTitle="Invalid Entry" error="Please select from the list" type="list" errorStyle="stop" operator="between">
      <formula1>"Technical,Schedule,Commercial,Resource,Quality,Compliance,IT Security,Reputational,Health &amp; Safety,Other"</formula1>
      <formula2>0</formula2>
    </dataValidation>
    <dataValidation sqref="M9:M43" showDropDown="0" showInputMessage="0" showErrorMessage="1" allowBlank="1" errorTitle="Invalid Entry" error="Please select from the list" type="list" errorStyle="stop" operator="between">
      <formula1>"Open,In Progress,Closed,Accepted,Transferred"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&amp;C&amp;8 &amp;K29ABE2NucCol | Nuclear Collaboration Ltd  ·  Fit For Nuclear Programme</oddHeader>
    <oddFooter>&amp;L&amp;7 Commercial in Confidence&amp;R&amp;7 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filterMode="0">
    <tabColor rgb="0029ABE2"/>
    <outlinePr summaryBelow="1" summaryRight="1"/>
    <pageSetUpPr fitToPage="0"/>
  </sheetPr>
  <dimension ref="A1:J1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24" min="1" max="1"/>
    <col width="15" customWidth="1" style="24" min="2" max="11"/>
  </cols>
  <sheetData>
    <row r="1" ht="50" customHeight="1" s="25">
      <c r="A1" s="26" t="inlineStr">
        <is>
          <t>RISK SUMMARY DASHBOARD</t>
        </is>
      </c>
    </row>
    <row r="2" ht="13.5" customHeight="1" s="25"/>
    <row r="3" ht="13.5" customHeight="1" s="25"/>
    <row r="4" ht="6" customHeight="1" s="25"/>
    <row r="5" ht="19.5" customHeight="1" s="25">
      <c r="A5" s="43" t="inlineStr">
        <is>
          <t xml:space="preserve">  RISK ASSESSMENT MATRIX</t>
        </is>
      </c>
    </row>
    <row r="6" ht="30" customHeight="1" s="25">
      <c r="A6" s="44" t="n"/>
      <c r="B6" s="45" t="inlineStr">
        <is>
          <t>Impact 1
Insignificant</t>
        </is>
      </c>
      <c r="C6" s="45" t="inlineStr">
        <is>
          <t>Impact 2
Minor</t>
        </is>
      </c>
      <c r="D6" s="45" t="inlineStr">
        <is>
          <t>Impact 3
Moderate</t>
        </is>
      </c>
      <c r="E6" s="45" t="inlineStr">
        <is>
          <t>Impact 4
Major</t>
        </is>
      </c>
      <c r="F6" s="45" t="inlineStr">
        <is>
          <t>Impact 5
Critical</t>
        </is>
      </c>
    </row>
    <row r="7" ht="30" customHeight="1" s="25">
      <c r="A7" s="45" t="inlineStr">
        <is>
          <t>Likelihood 5
Almost Certain</t>
        </is>
      </c>
      <c r="B7" s="46" t="inlineStr">
        <is>
          <t>5</t>
        </is>
      </c>
      <c r="C7" s="47" t="inlineStr">
        <is>
          <t>10</t>
        </is>
      </c>
      <c r="D7" s="47" t="inlineStr">
        <is>
          <t>15</t>
        </is>
      </c>
      <c r="E7" s="47" t="inlineStr">
        <is>
          <t>20</t>
        </is>
      </c>
      <c r="F7" s="47" t="inlineStr">
        <is>
          <t>25</t>
        </is>
      </c>
    </row>
    <row r="8" ht="30" customHeight="1" s="25">
      <c r="A8" s="45" t="inlineStr">
        <is>
          <t>Likelihood 4
Likely</t>
        </is>
      </c>
      <c r="B8" s="48" t="inlineStr">
        <is>
          <t>4</t>
        </is>
      </c>
      <c r="C8" s="46" t="inlineStr">
        <is>
          <t>8</t>
        </is>
      </c>
      <c r="D8" s="47" t="inlineStr">
        <is>
          <t>12</t>
        </is>
      </c>
      <c r="E8" s="47" t="inlineStr">
        <is>
          <t>16</t>
        </is>
      </c>
      <c r="F8" s="47" t="inlineStr">
        <is>
          <t>20</t>
        </is>
      </c>
    </row>
    <row r="9" ht="30" customHeight="1" s="25">
      <c r="A9" s="45" t="inlineStr">
        <is>
          <t>Likelihood 3
Possible</t>
        </is>
      </c>
      <c r="B9" s="48" t="inlineStr">
        <is>
          <t>3</t>
        </is>
      </c>
      <c r="C9" s="46" t="inlineStr">
        <is>
          <t>6</t>
        </is>
      </c>
      <c r="D9" s="46" t="inlineStr">
        <is>
          <t>9</t>
        </is>
      </c>
      <c r="E9" s="47" t="inlineStr">
        <is>
          <t>12</t>
        </is>
      </c>
      <c r="F9" s="47" t="inlineStr">
        <is>
          <t>15</t>
        </is>
      </c>
    </row>
    <row r="10" ht="30" customHeight="1" s="25">
      <c r="A10" s="45" t="inlineStr">
        <is>
          <t>Likelihood 2
Unlikely</t>
        </is>
      </c>
      <c r="B10" s="48" t="inlineStr">
        <is>
          <t>2</t>
        </is>
      </c>
      <c r="C10" s="48" t="inlineStr">
        <is>
          <t>4</t>
        </is>
      </c>
      <c r="D10" s="46" t="inlineStr">
        <is>
          <t>6</t>
        </is>
      </c>
      <c r="E10" s="46" t="inlineStr">
        <is>
          <t>8</t>
        </is>
      </c>
      <c r="F10" s="47" t="inlineStr">
        <is>
          <t>10</t>
        </is>
      </c>
    </row>
    <row r="11" ht="30" customHeight="1" s="25">
      <c r="A11" s="45" t="inlineStr">
        <is>
          <t>Likelihood 1
Rare</t>
        </is>
      </c>
      <c r="B11" s="48" t="inlineStr">
        <is>
          <t>1</t>
        </is>
      </c>
      <c r="C11" s="48" t="inlineStr">
        <is>
          <t>2</t>
        </is>
      </c>
      <c r="D11" s="48" t="inlineStr">
        <is>
          <t>3</t>
        </is>
      </c>
      <c r="E11" s="48" t="inlineStr">
        <is>
          <t>4</t>
        </is>
      </c>
      <c r="F11" s="46" t="inlineStr">
        <is>
          <t>5</t>
        </is>
      </c>
    </row>
    <row r="12" ht="7.5" customHeight="1" s="25"/>
    <row r="13" ht="19.5" customHeight="1" s="25">
      <c r="A13" s="43" t="inlineStr">
        <is>
          <t xml:space="preserve">  LIVE RISK COUNTS — Auto-calculated from Register</t>
        </is>
      </c>
    </row>
    <row r="14" ht="25.5" customHeight="1" s="25">
      <c r="A14" s="31" t="inlineStr">
        <is>
          <t>Total Open Risks</t>
        </is>
      </c>
      <c r="B14" s="49">
        <f>COUNTIF('Risk Register'!M9:M43,"Open")+COUNTIF('Risk Register'!M9:M43,"In Progress")</f>
        <v/>
      </c>
      <c r="C14" s="31" t="inlineStr">
        <is>
          <t>High Risks (score ≥10)</t>
        </is>
      </c>
      <c r="D14" s="49">
        <f>COUNTIF('Risk Register'!F9:F43,"&gt;=10")</f>
        <v/>
      </c>
      <c r="E14" s="31" t="inlineStr">
        <is>
          <t>Medium Risks (5–9)</t>
        </is>
      </c>
      <c r="F14" s="49">
        <f>COUNTIFS('Risk Register'!F9:F43,"&gt;="&amp;5,'Risk Register'!F9:F43,"&lt;="&amp;9)</f>
        <v/>
      </c>
      <c r="G14" s="31" t="inlineStr">
        <is>
          <t>Low Risks (score &lt;5)</t>
        </is>
      </c>
      <c r="H14" s="49">
        <f>COUNTIFS('Risk Register'!F9:F43,"&gt;"&amp;0,'Risk Register'!F9:F43,"&lt;"&amp;5)</f>
        <v/>
      </c>
      <c r="I14" s="31" t="inlineStr">
        <is>
          <t>Closed Risks</t>
        </is>
      </c>
      <c r="J14" s="49">
        <f>COUNTIF('Risk Register'!M9:M43,"Closed")</f>
        <v/>
      </c>
    </row>
  </sheetData>
  <mergeCells count="3">
    <mergeCell ref="A1:J1"/>
    <mergeCell ref="A13:J13"/>
    <mergeCell ref="A5:J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&amp;C&amp;8 &amp;K29ABE2NucCol | Nuclear Collaboration Ltd  ·  Fit For Nuclear Programme</oddHeader>
    <oddFooter>&amp;L&amp;7 Commercial in Confidence&amp;R&amp;7 Page &amp;P of &amp;N</oddFooter>
    <evenHeader/>
    <evenFooter/>
    <firstHeader/>
    <firstFooter/>
  </headerFooter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53F6056AA6464A99729F79B34ECED9" ma:contentTypeVersion="15" ma:contentTypeDescription="Create a new document." ma:contentTypeScope="" ma:versionID="5f61f7f6e9ac7af992ae58f204f4a905">
  <xsd:schema xmlns:xsd="http://www.w3.org/2001/XMLSchema" xmlns:xs="http://www.w3.org/2001/XMLSchema" xmlns:p="http://schemas.microsoft.com/office/2006/metadata/properties" xmlns:ns2="ecb9c8fd-b149-4da5-ae47-4cb2a6f921f7" xmlns:ns3="a57c75ee-0d51-4c06-b83a-21883992ef88" targetNamespace="http://schemas.microsoft.com/office/2006/metadata/properties" ma:root="true" ma:fieldsID="5bd49160a10d99efc7c2a57519ff9fe8" ns2:_="" ns3:_="">
    <xsd:import namespace="ecb9c8fd-b149-4da5-ae47-4cb2a6f921f7"/>
    <xsd:import namespace="a57c75ee-0d51-4c06-b83a-21883992ef88"/>
    <xsd:element name="properties">
      <xsd:complexType>
        <xsd:sequence>
          <xsd:element name="documentManagement">
            <xsd:complexType>
              <xsd:all>
                <xsd:element ref="ns2:MigrationSource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BillingMetadata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b9c8fd-b149-4da5-ae47-4cb2a6f921f7" elementFormDefault="qualified">
    <xsd:import namespace="http://schemas.microsoft.com/office/2006/documentManagement/types"/>
    <xsd:import namespace="http://schemas.microsoft.com/office/infopath/2007/PartnerControls"/>
    <xsd:element name="MigrationSourceID" ma:index="8" nillable="true" ma:displayName="MigrationSourceID" ma:internalName="MigrationSourceID" ma:readOnly="true">
      <xsd:simpleType>
        <xsd:restriction base="dms:Text"/>
      </xsd:simpleType>
    </xsd:element>
    <xsd:element name="TaxCatchAll" ma:index="20" nillable="true" ma:displayName="Taxonomy Catch All Column" ma:hidden="true" ma:list="{3bbffa37-1fb4-4f8b-a66f-2651692f13f0}" ma:internalName="TaxCatchAll" ma:showField="CatchAllData" ma:web="ecb9c8fd-b149-4da5-ae47-4cb2a6f921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7c75ee-0d51-4c06-b83a-21883992ef8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7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c323488a-041b-479c-b98c-53326eeb9f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cb9c8fd-b149-4da5-ae47-4cb2a6f921f7" xsi:nil="true"/>
    <lcf76f155ced4ddcb4097134ff3c332f xmlns="a57c75ee-0d51-4c06-b83a-21883992ef8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D431E1A-01B0-49C7-9577-0B1A196C8A23}"/>
</file>

<file path=customXml/itemProps2.xml><?xml version="1.0" encoding="utf-8"?>
<ds:datastoreItem xmlns:ds="http://schemas.openxmlformats.org/officeDocument/2006/customXml" ds:itemID="{19A7C43A-7AA6-4EFC-BE67-DDE16E4D370A}"/>
</file>

<file path=customXml/itemProps3.xml><?xml version="1.0" encoding="utf-8"?>
<ds:datastoreItem xmlns:ds="http://schemas.openxmlformats.org/officeDocument/2006/customXml" ds:itemID="{2120718E-FA6C-4211-905F-2B9DBB302B80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DPM-07 Project Risk Register</dc:title>
  <dc:creator>John Hilton-Brammer</dc:creator>
  <cp:lastModifiedBy>John Hilton-Brammer</cp:lastModifiedBy>
  <dcterms:created xsi:type="dcterms:W3CDTF">2026-07-01T07:45:32Z</dcterms:created>
  <dcterms:modified xsi:type="dcterms:W3CDTF">2026-07-01T07:45:32Z</dcterms:modified>
  <cp:category>Fit For Nuclear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0x0101002453F6056AA6464A99729F79B34ECED9</vt:lpwstr>
  </property>
</Properties>
</file>