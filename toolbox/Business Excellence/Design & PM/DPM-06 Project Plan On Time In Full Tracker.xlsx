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OTIF Tracker" sheetId="2" state="visible" r:id="rId2"/>
    <sheet xmlns:r="http://schemas.openxmlformats.org/officeDocument/2006/relationships" name="Cost Tracker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£#,##0.00"/>
    <numFmt numFmtId="165" formatCode="0.0%"/>
    <numFmt numFmtId="166" formatCode="dd/mm/yyyy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5B595A"/>
      <sz val="10"/>
    </font>
    <font>
      <name val="Arial"/>
      <charset val="1"/>
      <family val="0"/>
      <color rgb="FF5B595A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5B595A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b val="1"/>
      <color rgb="FF009FE3"/>
      <sz val="11"/>
    </font>
    <font>
      <name val="Calibri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FF009FE3"/>
        <bgColor rgb="FF008080"/>
      </patternFill>
    </fill>
    <fill>
      <patternFill patternType="solid">
        <fgColor rgb="FFF7F7F7"/>
        <bgColor rgb="FFEBF7FD"/>
      </patternFill>
    </fill>
    <fill>
      <patternFill patternType="solid">
        <fgColor rgb="FFFFFFFF"/>
        <bgColor rgb="FFF7F7F7"/>
      </patternFill>
    </fill>
    <fill>
      <patternFill patternType="solid">
        <fgColor rgb="FF5B595A"/>
        <bgColor rgb="FF666666"/>
      </patternFill>
    </fill>
    <fill>
      <patternFill patternType="solid">
        <fgColor rgb="FFEBF7FD"/>
        <bgColor rgb="FFF7F7F7"/>
      </patternFill>
    </fill>
    <fill>
      <patternFill patternType="solid">
        <fgColor rgb="FFF0F0F0"/>
        <bgColor rgb="FFF7F7F7"/>
      </patternFill>
    </fill>
    <fill>
      <patternFill patternType="solid">
        <fgColor rgb="001C1C3A"/>
      </patternFill>
    </fill>
  </fills>
  <borders count="5">
    <border>
      <left/>
      <right/>
      <top/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/>
    </xf>
    <xf numFmtId="0" fontId="9" fillId="6" borderId="2" applyAlignment="1" pivotButton="0" quotePrefix="0" xfId="0">
      <alignment horizontal="left" vertical="center" wrapText="1"/>
    </xf>
    <xf numFmtId="9" fontId="9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9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/>
    </xf>
    <xf numFmtId="1" fontId="9" fillId="6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center" vertical="center" wrapText="1"/>
    </xf>
    <xf numFmtId="9" fontId="11" fillId="4" borderId="2" applyAlignment="1" pivotButton="0" quotePrefix="0" xfId="0">
      <alignment horizontal="center" vertical="center" wrapText="1"/>
    </xf>
    <xf numFmtId="164" fontId="6" fillId="4" borderId="2" applyAlignment="1" pivotButton="0" quotePrefix="0" xfId="0">
      <alignment horizontal="center" vertical="center" wrapText="1"/>
    </xf>
    <xf numFmtId="165" fontId="6" fillId="4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center" wrapText="1"/>
    </xf>
    <xf numFmtId="164" fontId="8" fillId="2" borderId="2" applyAlignment="1" pivotButton="0" quotePrefix="0" xfId="0">
      <alignment horizontal="center" vertical="center" wrapText="1"/>
    </xf>
    <xf numFmtId="165" fontId="8" fillId="2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66" fontId="9" fillId="6" borderId="2" applyAlignment="1" pivotButton="0" quotePrefix="0" xfId="0">
      <alignment horizontal="left" vertical="center" wrapText="1"/>
    </xf>
    <xf numFmtId="164" fontId="9" fillId="6" borderId="2" applyAlignment="1" pivotButton="0" quotePrefix="0" xfId="0">
      <alignment horizontal="left" vertical="center" wrapText="1"/>
    </xf>
    <xf numFmtId="166" fontId="9" fillId="4" borderId="2" applyAlignment="1" pivotButton="0" quotePrefix="0" xfId="0">
      <alignment horizontal="left" vertical="center" wrapText="1"/>
    </xf>
    <xf numFmtId="164" fontId="9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2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4" borderId="1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/>
    </xf>
    <xf numFmtId="0" fontId="9" fillId="6" borderId="2" applyAlignment="1" pivotButton="0" quotePrefix="0" xfId="0">
      <alignment horizontal="left" vertical="center" wrapText="1"/>
    </xf>
    <xf numFmtId="9" fontId="9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9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/>
    </xf>
    <xf numFmtId="1" fontId="9" fillId="6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center" vertical="center" wrapText="1"/>
    </xf>
    <xf numFmtId="9" fontId="11" fillId="4" borderId="2" applyAlignment="1" pivotButton="0" quotePrefix="0" xfId="0">
      <alignment horizontal="center" vertical="center" wrapText="1"/>
    </xf>
    <xf numFmtId="164" fontId="6" fillId="4" borderId="2" applyAlignment="1" pivotButton="0" quotePrefix="0" xfId="0">
      <alignment horizontal="center" vertical="center" wrapText="1"/>
    </xf>
    <xf numFmtId="165" fontId="6" fillId="4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center" wrapText="1"/>
    </xf>
    <xf numFmtId="164" fontId="8" fillId="2" borderId="2" applyAlignment="1" pivotButton="0" quotePrefix="0" xfId="0">
      <alignment horizontal="center" vertical="center" wrapText="1"/>
    </xf>
    <xf numFmtId="165" fontId="8" fillId="2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66" fontId="9" fillId="6" borderId="2" applyAlignment="1" pivotButton="0" quotePrefix="0" xfId="0">
      <alignment horizontal="left" vertical="center" wrapText="1"/>
    </xf>
    <xf numFmtId="164" fontId="9" fillId="6" borderId="2" applyAlignment="1" pivotButton="0" quotePrefix="0" xfId="0">
      <alignment horizontal="left" vertical="center" wrapText="1"/>
    </xf>
    <xf numFmtId="166" fontId="9" fillId="4" borderId="2" applyAlignment="1" pivotButton="0" quotePrefix="0" xfId="0">
      <alignment horizontal="left" vertical="center" wrapText="1"/>
    </xf>
    <xf numFmtId="164" fontId="9" fillId="4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B595A"/>
      <rgbColor rgb="FF9999FF"/>
      <rgbColor rgb="FF993366"/>
      <rgbColor rgb="FFF7F7F7"/>
      <rgbColor rgb="FFEBF7F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F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Z4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29" min="1" max="1"/>
    <col width="18" customWidth="1" style="29" min="2" max="2"/>
    <col width="14" customWidth="1" style="29" min="3" max="3"/>
    <col width="12" customWidth="1" style="29" min="4" max="5"/>
    <col width="8" customWidth="1" style="29" min="6" max="6"/>
    <col width="9" customWidth="1" style="29" min="7" max="7"/>
    <col width="14" customWidth="1" style="29" min="8" max="8"/>
    <col width="8" customWidth="1" style="29" min="9" max="9"/>
    <col width="20" customWidth="1" style="29" min="10" max="10"/>
    <col width="5" customWidth="1" style="29" min="11" max="26"/>
  </cols>
  <sheetData>
    <row r="1" ht="50" customHeight="1" s="30">
      <c r="A1" s="31" t="inlineStr">
        <is>
          <t>DPM-06  ·  PROJECT PLAN</t>
        </is>
      </c>
    </row>
    <row r="2" ht="13.5" customHeight="1" s="30"/>
    <row r="3" ht="13.5" customHeight="1" s="30"/>
    <row r="4" ht="19.5" customHeight="1" s="30">
      <c r="A4" s="33" t="inlineStr">
        <is>
          <t>Project:</t>
        </is>
      </c>
      <c r="B4" s="34" t="n"/>
      <c r="C4" s="35" t="n"/>
      <c r="D4" s="34" t="n"/>
      <c r="E4" s="34" t="n"/>
      <c r="F4" s="34" t="n"/>
      <c r="G4" s="34" t="n"/>
      <c r="H4" s="33" t="inlineStr">
        <is>
          <t>Project Manager:</t>
        </is>
      </c>
      <c r="I4" s="34" t="n"/>
      <c r="J4" s="35" t="n"/>
      <c r="K4" s="34" t="n"/>
      <c r="L4" s="34" t="n"/>
      <c r="M4" s="34" t="n"/>
      <c r="P4" s="33" t="inlineStr">
        <is>
          <t>Start Date:</t>
        </is>
      </c>
      <c r="Q4" s="34" t="n"/>
      <c r="R4" s="35" t="n"/>
      <c r="S4" s="34" t="n"/>
      <c r="T4" s="34" t="n"/>
    </row>
    <row r="5" ht="19.5" customHeight="1" s="30">
      <c r="A5" s="33" t="inlineStr">
        <is>
          <t>Customer:</t>
        </is>
      </c>
      <c r="B5" s="34" t="n"/>
      <c r="C5" s="35" t="n"/>
      <c r="D5" s="34" t="n"/>
      <c r="E5" s="34" t="n"/>
      <c r="F5" s="34" t="n"/>
      <c r="G5" s="34" t="n"/>
      <c r="H5" s="33" t="inlineStr">
        <is>
          <t>PID Reference:</t>
        </is>
      </c>
      <c r="I5" s="34" t="n"/>
      <c r="J5" s="35" t="n"/>
      <c r="K5" s="34" t="n"/>
      <c r="L5" s="34" t="n"/>
      <c r="M5" s="34" t="n"/>
      <c r="P5" s="33" t="inlineStr">
        <is>
          <t>End Date:</t>
        </is>
      </c>
      <c r="Q5" s="34" t="n"/>
      <c r="R5" s="35" t="n"/>
      <c r="S5" s="34" t="n"/>
      <c r="T5" s="34" t="n"/>
    </row>
    <row r="6" ht="6" customHeight="1" s="30"/>
    <row r="7" ht="27.75" customHeight="1" s="30">
      <c r="A7" s="36" t="inlineStr">
        <is>
          <t>Task / Activity</t>
        </is>
      </c>
      <c r="B7" s="36" t="inlineStr">
        <is>
          <t>Phase</t>
        </is>
      </c>
      <c r="C7" s="36" t="inlineStr">
        <is>
          <t>Owner</t>
        </is>
      </c>
      <c r="D7" s="36" t="inlineStr">
        <is>
          <t>Start
Date</t>
        </is>
      </c>
      <c r="E7" s="36" t="inlineStr">
        <is>
          <t>End
Date</t>
        </is>
      </c>
      <c r="F7" s="36" t="inlineStr">
        <is>
          <t>Days</t>
        </is>
      </c>
      <c r="G7" s="36" t="inlineStr">
        <is>
          <t>% Done</t>
        </is>
      </c>
      <c r="H7" s="36" t="inlineStr">
        <is>
          <t>Status</t>
        </is>
      </c>
      <c r="I7" s="36" t="inlineStr">
        <is>
          <t>RAG</t>
        </is>
      </c>
      <c r="J7" s="36" t="inlineStr">
        <is>
          <t>Notes</t>
        </is>
      </c>
      <c r="K7" s="36" t="inlineStr">
        <is>
          <t>W1</t>
        </is>
      </c>
      <c r="L7" s="36" t="inlineStr">
        <is>
          <t>W2</t>
        </is>
      </c>
      <c r="M7" s="36" t="inlineStr">
        <is>
          <t>W3</t>
        </is>
      </c>
      <c r="N7" s="36" t="inlineStr">
        <is>
          <t>W4</t>
        </is>
      </c>
      <c r="O7" s="36" t="inlineStr">
        <is>
          <t>W5</t>
        </is>
      </c>
      <c r="P7" s="36" t="inlineStr">
        <is>
          <t>W6</t>
        </is>
      </c>
      <c r="Q7" s="36" t="inlineStr">
        <is>
          <t>W7</t>
        </is>
      </c>
      <c r="R7" s="36" t="inlineStr">
        <is>
          <t>W8</t>
        </is>
      </c>
      <c r="S7" s="36" t="inlineStr">
        <is>
          <t>W9</t>
        </is>
      </c>
      <c r="T7" s="36" t="inlineStr">
        <is>
          <t>W10</t>
        </is>
      </c>
      <c r="U7" s="36" t="inlineStr">
        <is>
          <t>W11</t>
        </is>
      </c>
      <c r="V7" s="36" t="inlineStr">
        <is>
          <t>W12</t>
        </is>
      </c>
      <c r="W7" s="36" t="inlineStr">
        <is>
          <t>W13</t>
        </is>
      </c>
      <c r="X7" s="36" t="inlineStr">
        <is>
          <t>W14</t>
        </is>
      </c>
      <c r="Y7" s="36" t="inlineStr">
        <is>
          <t>W15</t>
        </is>
      </c>
      <c r="Z7" s="36" t="inlineStr">
        <is>
          <t>W16</t>
        </is>
      </c>
    </row>
    <row r="8" ht="18" customHeight="1" s="30">
      <c r="A8" s="37" t="inlineStr">
        <is>
          <t xml:space="preserve">  1. Tender &amp; Contract</t>
        </is>
      </c>
    </row>
    <row r="9" ht="19.5" customHeight="1" s="30">
      <c r="A9" s="38" t="n"/>
      <c r="B9" s="38" t="n"/>
      <c r="C9" s="38" t="n"/>
      <c r="D9" s="38" t="n"/>
      <c r="E9" s="38" t="n"/>
      <c r="F9" s="38" t="n"/>
      <c r="G9" s="39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</row>
    <row r="10" ht="19.5" customHeight="1" s="30">
      <c r="A10" s="41" t="n"/>
      <c r="B10" s="41" t="n"/>
      <c r="C10" s="41" t="n"/>
      <c r="D10" s="41" t="n"/>
      <c r="E10" s="41" t="n"/>
      <c r="F10" s="41" t="n"/>
      <c r="G10" s="42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</row>
    <row r="11" ht="19.5" customHeight="1" s="30">
      <c r="A11" s="38" t="n"/>
      <c r="B11" s="38" t="n"/>
      <c r="C11" s="38" t="n"/>
      <c r="D11" s="38" t="n"/>
      <c r="E11" s="38" t="n"/>
      <c r="F11" s="38" t="n"/>
      <c r="G11" s="39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</row>
    <row r="12" ht="18" customHeight="1" s="30">
      <c r="A12" s="37" t="inlineStr">
        <is>
          <t xml:space="preserve">  2. Project Initiation</t>
        </is>
      </c>
    </row>
    <row r="13" ht="19.5" customHeight="1" s="30">
      <c r="A13" s="38" t="n"/>
      <c r="B13" s="38" t="n"/>
      <c r="C13" s="38" t="n"/>
      <c r="D13" s="38" t="n"/>
      <c r="E13" s="38" t="n"/>
      <c r="F13" s="38" t="n"/>
      <c r="G13" s="39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 ht="19.5" customHeight="1" s="30">
      <c r="A14" s="41" t="n"/>
      <c r="B14" s="41" t="n"/>
      <c r="C14" s="41" t="n"/>
      <c r="D14" s="41" t="n"/>
      <c r="E14" s="41" t="n"/>
      <c r="F14" s="41" t="n"/>
      <c r="G14" s="42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</row>
    <row r="15" ht="19.5" customHeight="1" s="30">
      <c r="A15" s="38" t="n"/>
      <c r="B15" s="38" t="n"/>
      <c r="C15" s="38" t="n"/>
      <c r="D15" s="38" t="n"/>
      <c r="E15" s="38" t="n"/>
      <c r="F15" s="38" t="n"/>
      <c r="G15" s="39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</row>
    <row r="16" ht="18" customHeight="1" s="30">
      <c r="A16" s="37" t="inlineStr">
        <is>
          <t xml:space="preserve">  3. Design &amp; Specification</t>
        </is>
      </c>
    </row>
    <row r="17" ht="19.5" customHeight="1" s="30">
      <c r="A17" s="38" t="n"/>
      <c r="B17" s="38" t="n"/>
      <c r="C17" s="38" t="n"/>
      <c r="D17" s="38" t="n"/>
      <c r="E17" s="38" t="n"/>
      <c r="F17" s="38" t="n"/>
      <c r="G17" s="39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</row>
    <row r="18" ht="19.5" customHeight="1" s="30">
      <c r="A18" s="41" t="n"/>
      <c r="B18" s="41" t="n"/>
      <c r="C18" s="41" t="n"/>
      <c r="D18" s="41" t="n"/>
      <c r="E18" s="41" t="n"/>
      <c r="F18" s="41" t="n"/>
      <c r="G18" s="42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</row>
    <row r="19" ht="19.5" customHeight="1" s="30">
      <c r="A19" s="38" t="n"/>
      <c r="B19" s="38" t="n"/>
      <c r="C19" s="38" t="n"/>
      <c r="D19" s="38" t="n"/>
      <c r="E19" s="38" t="n"/>
      <c r="F19" s="38" t="n"/>
      <c r="G19" s="39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</row>
    <row r="20" ht="18" customHeight="1" s="30">
      <c r="A20" s="37" t="inlineStr">
        <is>
          <t xml:space="preserve">  4. Procurement</t>
        </is>
      </c>
    </row>
    <row r="21" ht="19.5" customHeight="1" s="30">
      <c r="A21" s="38" t="n"/>
      <c r="B21" s="38" t="n"/>
      <c r="C21" s="38" t="n"/>
      <c r="D21" s="38" t="n"/>
      <c r="E21" s="38" t="n"/>
      <c r="F21" s="38" t="n"/>
      <c r="G21" s="39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</row>
    <row r="22" ht="19.5" customHeight="1" s="30">
      <c r="A22" s="41" t="n"/>
      <c r="B22" s="41" t="n"/>
      <c r="C22" s="41" t="n"/>
      <c r="D22" s="41" t="n"/>
      <c r="E22" s="41" t="n"/>
      <c r="F22" s="41" t="n"/>
      <c r="G22" s="42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</row>
    <row r="23" ht="19.5" customHeight="1" s="30">
      <c r="A23" s="38" t="n"/>
      <c r="B23" s="38" t="n"/>
      <c r="C23" s="38" t="n"/>
      <c r="D23" s="38" t="n"/>
      <c r="E23" s="38" t="n"/>
      <c r="F23" s="38" t="n"/>
      <c r="G23" s="39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</row>
    <row r="24" ht="18" customHeight="1" s="30">
      <c r="A24" s="37" t="inlineStr">
        <is>
          <t xml:space="preserve">  5. Manufacturing / Production</t>
        </is>
      </c>
    </row>
    <row r="25" ht="19.5" customHeight="1" s="30">
      <c r="A25" s="38" t="n"/>
      <c r="B25" s="38" t="n"/>
      <c r="C25" s="38" t="n"/>
      <c r="D25" s="38" t="n"/>
      <c r="E25" s="38" t="n"/>
      <c r="F25" s="38" t="n"/>
      <c r="G25" s="39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</row>
    <row r="26" ht="19.5" customHeight="1" s="30">
      <c r="A26" s="41" t="n"/>
      <c r="B26" s="41" t="n"/>
      <c r="C26" s="41" t="n"/>
      <c r="D26" s="41" t="n"/>
      <c r="E26" s="41" t="n"/>
      <c r="F26" s="41" t="n"/>
      <c r="G26" s="42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</row>
    <row r="27" ht="19.5" customHeight="1" s="30">
      <c r="A27" s="38" t="n"/>
      <c r="B27" s="38" t="n"/>
      <c r="C27" s="38" t="n"/>
      <c r="D27" s="38" t="n"/>
      <c r="E27" s="38" t="n"/>
      <c r="F27" s="38" t="n"/>
      <c r="G27" s="39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</row>
    <row r="28" ht="18" customHeight="1" s="30">
      <c r="A28" s="37" t="inlineStr">
        <is>
          <t xml:space="preserve">  6. Inspection &amp; Quality</t>
        </is>
      </c>
    </row>
    <row r="29" ht="19.5" customHeight="1" s="30">
      <c r="A29" s="38" t="n"/>
      <c r="B29" s="38" t="n"/>
      <c r="C29" s="38" t="n"/>
      <c r="D29" s="38" t="n"/>
      <c r="E29" s="38" t="n"/>
      <c r="F29" s="38" t="n"/>
      <c r="G29" s="39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</row>
    <row r="30" ht="19.5" customHeight="1" s="30">
      <c r="A30" s="41" t="n"/>
      <c r="B30" s="41" t="n"/>
      <c r="C30" s="41" t="n"/>
      <c r="D30" s="41" t="n"/>
      <c r="E30" s="41" t="n"/>
      <c r="F30" s="41" t="n"/>
      <c r="G30" s="42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</row>
    <row r="31" ht="19.5" customHeight="1" s="30">
      <c r="A31" s="38" t="n"/>
      <c r="B31" s="38" t="n"/>
      <c r="C31" s="38" t="n"/>
      <c r="D31" s="38" t="n"/>
      <c r="E31" s="38" t="n"/>
      <c r="F31" s="38" t="n"/>
      <c r="G31" s="39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</row>
    <row r="32" ht="18" customHeight="1" s="30">
      <c r="A32" s="37" t="inlineStr">
        <is>
          <t xml:space="preserve">  7. Delivery</t>
        </is>
      </c>
    </row>
    <row r="33" ht="19.5" customHeight="1" s="30">
      <c r="A33" s="38" t="n"/>
      <c r="B33" s="38" t="n"/>
      <c r="C33" s="38" t="n"/>
      <c r="D33" s="38" t="n"/>
      <c r="E33" s="38" t="n"/>
      <c r="F33" s="38" t="n"/>
      <c r="G33" s="39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</row>
    <row r="34" ht="19.5" customHeight="1" s="30">
      <c r="A34" s="41" t="n"/>
      <c r="B34" s="41" t="n"/>
      <c r="C34" s="41" t="n"/>
      <c r="D34" s="41" t="n"/>
      <c r="E34" s="41" t="n"/>
      <c r="F34" s="41" t="n"/>
      <c r="G34" s="42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</row>
    <row r="35" ht="19.5" customHeight="1" s="30">
      <c r="A35" s="38" t="n"/>
      <c r="B35" s="38" t="n"/>
      <c r="C35" s="38" t="n"/>
      <c r="D35" s="38" t="n"/>
      <c r="E35" s="38" t="n"/>
      <c r="F35" s="38" t="n"/>
      <c r="G35" s="39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</row>
    <row r="36" ht="18" customHeight="1" s="30">
      <c r="A36" s="37" t="inlineStr">
        <is>
          <t xml:space="preserve">  8. Project Closure</t>
        </is>
      </c>
    </row>
    <row r="37" ht="19.5" customHeight="1" s="30">
      <c r="A37" s="38" t="n"/>
      <c r="B37" s="38" t="n"/>
      <c r="C37" s="38" t="n"/>
      <c r="D37" s="38" t="n"/>
      <c r="E37" s="38" t="n"/>
      <c r="F37" s="38" t="n"/>
      <c r="G37" s="39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</row>
    <row r="38" ht="19.5" customHeight="1" s="30">
      <c r="A38" s="41" t="n"/>
      <c r="B38" s="41" t="n"/>
      <c r="C38" s="41" t="n"/>
      <c r="D38" s="41" t="n"/>
      <c r="E38" s="41" t="n"/>
      <c r="F38" s="41" t="n"/>
      <c r="G38" s="42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</row>
    <row r="39" ht="19.5" customHeight="1" s="30">
      <c r="A39" s="38" t="n"/>
      <c r="B39" s="38" t="n"/>
      <c r="C39" s="38" t="n"/>
      <c r="D39" s="38" t="n"/>
      <c r="E39" s="38" t="n"/>
      <c r="F39" s="38" t="n"/>
      <c r="G39" s="39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</row>
    <row r="40" ht="6" customHeight="1" s="30"/>
    <row r="41" ht="15.75" customHeight="1" s="30">
      <c r="A41" s="44" t="inlineStr">
        <is>
          <t xml:space="preserve">  USAGE: Fill Start/End dates and % Done as the project progresses.  RAG: Green = on track  ·  Amber = at risk  ·  Red = delayed / issue  Shade week columns to indicate planned (light blue) and actual (dark blue) progress.</t>
        </is>
      </c>
    </row>
  </sheetData>
  <mergeCells count="22">
    <mergeCell ref="P4:Q4"/>
    <mergeCell ref="A28:Z28"/>
    <mergeCell ref="C5:G5"/>
    <mergeCell ref="A24:Z24"/>
    <mergeCell ref="H4:I4"/>
    <mergeCell ref="C4:G4"/>
    <mergeCell ref="A36:Z36"/>
    <mergeCell ref="A1:Z1"/>
    <mergeCell ref="A16:Z16"/>
    <mergeCell ref="J5:M5"/>
    <mergeCell ref="A41:Z41"/>
    <mergeCell ref="R5:T5"/>
    <mergeCell ref="A5:B5"/>
    <mergeCell ref="A12:Z12"/>
    <mergeCell ref="A4:B4"/>
    <mergeCell ref="A32:Z32"/>
    <mergeCell ref="A8:Z8"/>
    <mergeCell ref="J4:M4"/>
    <mergeCell ref="R4:T4"/>
    <mergeCell ref="H5:I5"/>
    <mergeCell ref="A20:Z20"/>
    <mergeCell ref="P5:Q5"/>
  </mergeCells>
  <dataValidations count="2">
    <dataValidation sqref="I9:I11 I13:I15 I17:I19 I21:I23 I25:I27 I29:I31 I33:I35 I37:I39" showDropDown="0" showInputMessage="0" showErrorMessage="1" allowBlank="1" errorTitle="Invalid Entry" error="Please select from the list" type="list" errorStyle="stop" operator="between">
      <formula1>"Green,Amber,Red,Not Started,Complete"</formula1>
      <formula2>0</formula2>
    </dataValidation>
    <dataValidation sqref="H9:H11 H13:H15 H17:H19 H21:H23 H25:H27 H29:H31 H33:H35 H37:H39" showDropDown="0" showInputMessage="0" showErrorMessage="1" allowBlank="1" errorTitle="Invalid Entry" error="Please select from the list" type="list" errorStyle="stop" operator="between">
      <formula1>"Not Started,In Progress,Complete,On Hold,Delayed,Cancelled"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M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9" min="1" max="1"/>
    <col width="12" customWidth="1" style="29" min="2" max="3"/>
    <col width="9" customWidth="1" style="29" min="4" max="6"/>
    <col width="12" customWidth="1" style="29" min="7" max="7"/>
    <col width="9" customWidth="1" style="29" min="8" max="8"/>
    <col width="30" customWidth="1" style="29" min="9" max="9"/>
    <col width="16" customWidth="1" style="29" min="10" max="10"/>
    <col width="14" customWidth="1" style="29" min="11" max="11"/>
    <col width="22" customWidth="1" style="29" min="12" max="12"/>
  </cols>
  <sheetData>
    <row r="1" ht="50" customHeight="1" s="30">
      <c r="A1" s="31" t="inlineStr">
        <is>
          <t>DPM-06  ·  OTIF TRACKER</t>
        </is>
      </c>
      <c r="M1" s="32" t="n"/>
    </row>
    <row r="2" ht="13.5" customHeight="1" s="30"/>
    <row r="3" ht="13.5" customHeight="1" s="30"/>
    <row r="4" ht="19.5" customHeight="1" s="30">
      <c r="A4" s="33" t="inlineStr">
        <is>
          <t>Project:</t>
        </is>
      </c>
      <c r="B4" s="34" t="n"/>
      <c r="C4" s="35" t="n"/>
      <c r="D4" s="34" t="n"/>
      <c r="E4" s="34" t="n"/>
      <c r="F4" s="34" t="n"/>
      <c r="H4" s="33" t="inlineStr">
        <is>
          <t>Reporting Period:</t>
        </is>
      </c>
      <c r="I4" s="34" t="n"/>
      <c r="J4" s="35" t="n"/>
      <c r="K4" s="34" t="n"/>
      <c r="L4" s="34" t="n"/>
      <c r="M4" s="34" t="n"/>
    </row>
    <row r="5" ht="19.5" customHeight="1" s="30">
      <c r="A5" s="33" t="inlineStr">
        <is>
          <t>Project Manager:</t>
        </is>
      </c>
      <c r="B5" s="34" t="n"/>
      <c r="C5" s="35" t="n"/>
      <c r="D5" s="34" t="n"/>
      <c r="E5" s="34" t="n"/>
      <c r="F5" s="34" t="n"/>
      <c r="H5" s="33" t="inlineStr">
        <is>
          <t>Updated by:</t>
        </is>
      </c>
      <c r="I5" s="34" t="n"/>
      <c r="J5" s="35" t="n"/>
      <c r="K5" s="34" t="n"/>
      <c r="L5" s="34" t="n"/>
      <c r="M5" s="34" t="n"/>
    </row>
    <row r="6" ht="6" customHeight="1" s="30"/>
    <row r="7" ht="30" customHeight="1" s="30">
      <c r="A7" s="36" t="inlineStr">
        <is>
          <t>Milestone / Delivery</t>
        </is>
      </c>
      <c r="B7" s="36" t="inlineStr">
        <is>
          <t>Planned
Date</t>
        </is>
      </c>
      <c r="C7" s="36" t="inlineStr">
        <is>
          <t>Actual
Date</t>
        </is>
      </c>
      <c r="D7" s="36" t="inlineStr">
        <is>
          <t>On
Time</t>
        </is>
      </c>
      <c r="E7" s="36" t="inlineStr">
        <is>
          <t>In
Full</t>
        </is>
      </c>
      <c r="F7" s="36" t="inlineStr">
        <is>
          <t>OTIF</t>
        </is>
      </c>
      <c r="G7" s="36" t="inlineStr">
        <is>
          <t>Days
Variance</t>
        </is>
      </c>
      <c r="H7" s="36" t="inlineStr">
        <is>
          <t>NCRs
Raised</t>
        </is>
      </c>
      <c r="I7" s="36" t="inlineStr">
        <is>
          <t>Corrective Action (if late/partial)</t>
        </is>
      </c>
      <c r="J7" s="36" t="inlineStr">
        <is>
          <t>Owner</t>
        </is>
      </c>
      <c r="K7" s="36" t="inlineStr">
        <is>
          <t>Status</t>
        </is>
      </c>
      <c r="L7" s="36" t="inlineStr">
        <is>
          <t>Notes</t>
        </is>
      </c>
    </row>
    <row r="8" ht="21.75" customHeight="1" s="30">
      <c r="A8" s="38" t="n"/>
      <c r="B8" s="40" t="n"/>
      <c r="C8" s="40" t="n"/>
      <c r="D8" s="40" t="n"/>
      <c r="E8" s="40" t="n"/>
      <c r="F8" s="40">
        <f>IF(AND(D8="Y",E8="Y"),"Y","N")</f>
        <v/>
      </c>
      <c r="G8" s="45">
        <f>IF(OR(B8="",C8=""),"",C8-B8)</f>
        <v/>
      </c>
      <c r="H8" s="40" t="n"/>
      <c r="I8" s="38" t="n"/>
      <c r="J8" s="38" t="n"/>
      <c r="K8" s="40" t="n"/>
      <c r="L8" s="38" t="n"/>
    </row>
    <row r="9" ht="21.75" customHeight="1" s="30">
      <c r="A9" s="41" t="n"/>
      <c r="B9" s="43" t="n"/>
      <c r="C9" s="43" t="n"/>
      <c r="D9" s="43" t="n"/>
      <c r="E9" s="43" t="n"/>
      <c r="F9" s="43">
        <f>IF(AND(D9="Y",E9="Y"),"Y","N")</f>
        <v/>
      </c>
      <c r="G9" s="46">
        <f>IF(OR(B9="",C9=""),"",C9-B9)</f>
        <v/>
      </c>
      <c r="H9" s="43" t="n"/>
      <c r="I9" s="41" t="n"/>
      <c r="J9" s="41" t="n"/>
      <c r="K9" s="43" t="n"/>
      <c r="L9" s="41" t="n"/>
    </row>
    <row r="10" ht="21.75" customHeight="1" s="30">
      <c r="A10" s="38" t="n"/>
      <c r="B10" s="40" t="n"/>
      <c r="C10" s="40" t="n"/>
      <c r="D10" s="40" t="n"/>
      <c r="E10" s="40" t="n"/>
      <c r="F10" s="40">
        <f>IF(AND(D10="Y",E10="Y"),"Y","N")</f>
        <v/>
      </c>
      <c r="G10" s="45">
        <f>IF(OR(B10="",C10=""),"",C10-B10)</f>
        <v/>
      </c>
      <c r="H10" s="40" t="n"/>
      <c r="I10" s="38" t="n"/>
      <c r="J10" s="38" t="n"/>
      <c r="K10" s="40" t="n"/>
      <c r="L10" s="38" t="n"/>
    </row>
    <row r="11" ht="21.75" customHeight="1" s="30">
      <c r="A11" s="41" t="n"/>
      <c r="B11" s="43" t="n"/>
      <c r="C11" s="43" t="n"/>
      <c r="D11" s="43" t="n"/>
      <c r="E11" s="43" t="n"/>
      <c r="F11" s="43">
        <f>IF(AND(D11="Y",E11="Y"),"Y","N")</f>
        <v/>
      </c>
      <c r="G11" s="46">
        <f>IF(OR(B11="",C11=""),"",C11-B11)</f>
        <v/>
      </c>
      <c r="H11" s="43" t="n"/>
      <c r="I11" s="41" t="n"/>
      <c r="J11" s="41" t="n"/>
      <c r="K11" s="43" t="n"/>
      <c r="L11" s="41" t="n"/>
    </row>
    <row r="12" ht="21.75" customHeight="1" s="30">
      <c r="A12" s="38" t="n"/>
      <c r="B12" s="40" t="n"/>
      <c r="C12" s="40" t="n"/>
      <c r="D12" s="40" t="n"/>
      <c r="E12" s="40" t="n"/>
      <c r="F12" s="40">
        <f>IF(AND(D12="Y",E12="Y"),"Y","N")</f>
        <v/>
      </c>
      <c r="G12" s="45">
        <f>IF(OR(B12="",C12=""),"",C12-B12)</f>
        <v/>
      </c>
      <c r="H12" s="40" t="n"/>
      <c r="I12" s="38" t="n"/>
      <c r="J12" s="38" t="n"/>
      <c r="K12" s="40" t="n"/>
      <c r="L12" s="38" t="n"/>
    </row>
    <row r="13" ht="21.75" customHeight="1" s="30">
      <c r="A13" s="41" t="n"/>
      <c r="B13" s="43" t="n"/>
      <c r="C13" s="43" t="n"/>
      <c r="D13" s="43" t="n"/>
      <c r="E13" s="43" t="n"/>
      <c r="F13" s="43">
        <f>IF(AND(D13="Y",E13="Y"),"Y","N")</f>
        <v/>
      </c>
      <c r="G13" s="46">
        <f>IF(OR(B13="",C13=""),"",C13-B13)</f>
        <v/>
      </c>
      <c r="H13" s="43" t="n"/>
      <c r="I13" s="41" t="n"/>
      <c r="J13" s="41" t="n"/>
      <c r="K13" s="43" t="n"/>
      <c r="L13" s="41" t="n"/>
    </row>
    <row r="14" ht="21.75" customHeight="1" s="30">
      <c r="A14" s="38" t="n"/>
      <c r="B14" s="40" t="n"/>
      <c r="C14" s="40" t="n"/>
      <c r="D14" s="40" t="n"/>
      <c r="E14" s="40" t="n"/>
      <c r="F14" s="40">
        <f>IF(AND(D14="Y",E14="Y"),"Y","N")</f>
        <v/>
      </c>
      <c r="G14" s="45">
        <f>IF(OR(B14="",C14=""),"",C14-B14)</f>
        <v/>
      </c>
      <c r="H14" s="40" t="n"/>
      <c r="I14" s="38" t="n"/>
      <c r="J14" s="38" t="n"/>
      <c r="K14" s="40" t="n"/>
      <c r="L14" s="38" t="n"/>
    </row>
    <row r="15" ht="21.75" customHeight="1" s="30">
      <c r="A15" s="41" t="n"/>
      <c r="B15" s="43" t="n"/>
      <c r="C15" s="43" t="n"/>
      <c r="D15" s="43" t="n"/>
      <c r="E15" s="43" t="n"/>
      <c r="F15" s="43">
        <f>IF(AND(D15="Y",E15="Y"),"Y","N")</f>
        <v/>
      </c>
      <c r="G15" s="46">
        <f>IF(OR(B15="",C15=""),"",C15-B15)</f>
        <v/>
      </c>
      <c r="H15" s="43" t="n"/>
      <c r="I15" s="41" t="n"/>
      <c r="J15" s="41" t="n"/>
      <c r="K15" s="43" t="n"/>
      <c r="L15" s="41" t="n"/>
    </row>
    <row r="16" ht="21.75" customHeight="1" s="30">
      <c r="A16" s="38" t="n"/>
      <c r="B16" s="40" t="n"/>
      <c r="C16" s="40" t="n"/>
      <c r="D16" s="40" t="n"/>
      <c r="E16" s="40" t="n"/>
      <c r="F16" s="40">
        <f>IF(AND(D16="Y",E16="Y"),"Y","N")</f>
        <v/>
      </c>
      <c r="G16" s="45">
        <f>IF(OR(B16="",C16=""),"",C16-B16)</f>
        <v/>
      </c>
      <c r="H16" s="40" t="n"/>
      <c r="I16" s="38" t="n"/>
      <c r="J16" s="38" t="n"/>
      <c r="K16" s="40" t="n"/>
      <c r="L16" s="38" t="n"/>
    </row>
    <row r="17" ht="21.75" customHeight="1" s="30">
      <c r="A17" s="41" t="n"/>
      <c r="B17" s="43" t="n"/>
      <c r="C17" s="43" t="n"/>
      <c r="D17" s="43" t="n"/>
      <c r="E17" s="43" t="n"/>
      <c r="F17" s="43">
        <f>IF(AND(D17="Y",E17="Y"),"Y","N")</f>
        <v/>
      </c>
      <c r="G17" s="46">
        <f>IF(OR(B17="",C17=""),"",C17-B17)</f>
        <v/>
      </c>
      <c r="H17" s="43" t="n"/>
      <c r="I17" s="41" t="n"/>
      <c r="J17" s="41" t="n"/>
      <c r="K17" s="43" t="n"/>
      <c r="L17" s="41" t="n"/>
    </row>
    <row r="18" ht="21.75" customHeight="1" s="30">
      <c r="A18" s="38" t="n"/>
      <c r="B18" s="40" t="n"/>
      <c r="C18" s="40" t="n"/>
      <c r="D18" s="40" t="n"/>
      <c r="E18" s="40" t="n"/>
      <c r="F18" s="40">
        <f>IF(AND(D18="Y",E18="Y"),"Y","N")</f>
        <v/>
      </c>
      <c r="G18" s="45">
        <f>IF(OR(B18="",C18=""),"",C18-B18)</f>
        <v/>
      </c>
      <c r="H18" s="40" t="n"/>
      <c r="I18" s="38" t="n"/>
      <c r="J18" s="38" t="n"/>
      <c r="K18" s="40" t="n"/>
      <c r="L18" s="38" t="n"/>
    </row>
    <row r="19" ht="21.75" customHeight="1" s="30">
      <c r="A19" s="41" t="n"/>
      <c r="B19" s="43" t="n"/>
      <c r="C19" s="43" t="n"/>
      <c r="D19" s="43" t="n"/>
      <c r="E19" s="43" t="n"/>
      <c r="F19" s="43">
        <f>IF(AND(D19="Y",E19="Y"),"Y","N")</f>
        <v/>
      </c>
      <c r="G19" s="46">
        <f>IF(OR(B19="",C19=""),"",C19-B19)</f>
        <v/>
      </c>
      <c r="H19" s="43" t="n"/>
      <c r="I19" s="41" t="n"/>
      <c r="J19" s="41" t="n"/>
      <c r="K19" s="43" t="n"/>
      <c r="L19" s="41" t="n"/>
    </row>
    <row r="20" ht="21.75" customHeight="1" s="30">
      <c r="A20" s="38" t="n"/>
      <c r="B20" s="40" t="n"/>
      <c r="C20" s="40" t="n"/>
      <c r="D20" s="40" t="n"/>
      <c r="E20" s="40" t="n"/>
      <c r="F20" s="40">
        <f>IF(AND(D20="Y",E20="Y"),"Y","N")</f>
        <v/>
      </c>
      <c r="G20" s="45">
        <f>IF(OR(B20="",C20=""),"",C20-B20)</f>
        <v/>
      </c>
      <c r="H20" s="40" t="n"/>
      <c r="I20" s="38" t="n"/>
      <c r="J20" s="38" t="n"/>
      <c r="K20" s="40" t="n"/>
      <c r="L20" s="38" t="n"/>
    </row>
    <row r="21" ht="21.75" customHeight="1" s="30">
      <c r="A21" s="41" t="n"/>
      <c r="B21" s="43" t="n"/>
      <c r="C21" s="43" t="n"/>
      <c r="D21" s="43" t="n"/>
      <c r="E21" s="43" t="n"/>
      <c r="F21" s="43">
        <f>IF(AND(D21="Y",E21="Y"),"Y","N")</f>
        <v/>
      </c>
      <c r="G21" s="46">
        <f>IF(OR(B21="",C21=""),"",C21-B21)</f>
        <v/>
      </c>
      <c r="H21" s="43" t="n"/>
      <c r="I21" s="41" t="n"/>
      <c r="J21" s="41" t="n"/>
      <c r="K21" s="43" t="n"/>
      <c r="L21" s="41" t="n"/>
    </row>
    <row r="22" ht="21.75" customHeight="1" s="30">
      <c r="A22" s="38" t="n"/>
      <c r="B22" s="40" t="n"/>
      <c r="C22" s="40" t="n"/>
      <c r="D22" s="40" t="n"/>
      <c r="E22" s="40" t="n"/>
      <c r="F22" s="40">
        <f>IF(AND(D22="Y",E22="Y"),"Y","N")</f>
        <v/>
      </c>
      <c r="G22" s="45">
        <f>IF(OR(B22="",C22=""),"",C22-B22)</f>
        <v/>
      </c>
      <c r="H22" s="40" t="n"/>
      <c r="I22" s="38" t="n"/>
      <c r="J22" s="38" t="n"/>
      <c r="K22" s="40" t="n"/>
      <c r="L22" s="38" t="n"/>
    </row>
    <row r="23" ht="6" customHeight="1" s="30"/>
    <row r="24" ht="19.5" customHeight="1" s="30">
      <c r="A24" s="47" t="inlineStr">
        <is>
          <t xml:space="preserve">  OTIF SUMMARY</t>
        </is>
      </c>
    </row>
    <row r="25" ht="21.75" customHeight="1" s="30">
      <c r="A25" s="48" t="inlineStr">
        <is>
          <t>Total milestones</t>
        </is>
      </c>
      <c r="B25" s="49">
        <f>COUNTA(A8:A22)</f>
        <v/>
      </c>
      <c r="C25" s="48" t="inlineStr">
        <is>
          <t>Delivered On Time</t>
        </is>
      </c>
      <c r="D25" s="49">
        <f>COUNTIF(D8:D22,"Y")</f>
        <v/>
      </c>
      <c r="E25" s="48" t="inlineStr">
        <is>
          <t>Delivered In Full</t>
        </is>
      </c>
      <c r="F25" s="49">
        <f>COUNTIF(E8:E22,"Y")</f>
        <v/>
      </c>
      <c r="G25" s="48" t="inlineStr">
        <is>
          <t>OTIF Deliveries</t>
        </is>
      </c>
      <c r="H25" s="49">
        <f>COUNTIF(F8:F22,"Y")</f>
        <v/>
      </c>
      <c r="I25" s="48" t="inlineStr">
        <is>
          <t>OTIF %</t>
        </is>
      </c>
      <c r="J25" s="50">
        <f>IF(COUNTA(A8:A22)=0,"",COUNTIF(F8:F22,"Y")/COUNTA(A8:A22))</f>
        <v/>
      </c>
      <c r="K25" s="48" t="inlineStr">
        <is>
          <t>Total NCRs</t>
        </is>
      </c>
      <c r="L25" s="49">
        <f>SUM(H8:H22)</f>
        <v/>
      </c>
    </row>
  </sheetData>
  <mergeCells count="10">
    <mergeCell ref="A4:B4"/>
    <mergeCell ref="A24:L24"/>
    <mergeCell ref="C4:F4"/>
    <mergeCell ref="A1:L1"/>
    <mergeCell ref="J4:M4"/>
    <mergeCell ref="A5:B5"/>
    <mergeCell ref="H5:I5"/>
    <mergeCell ref="H4:I4"/>
    <mergeCell ref="C5:F5"/>
    <mergeCell ref="J5:M5"/>
  </mergeCells>
  <dataValidations count="3">
    <dataValidation sqref="D8:D22" showDropDown="0" showInputMessage="0" showErrorMessage="1" allowBlank="1" errorTitle="Invalid Entry" error="Please select from the list" type="list" errorStyle="stop" operator="between">
      <formula1>"Y,N,Partial"</formula1>
      <formula2>0</formula2>
    </dataValidation>
    <dataValidation sqref="E8:E22" showDropDown="0" showInputMessage="0" showErrorMessage="1" allowBlank="1" errorTitle="Invalid Entry" error="Please select from the list" type="list" errorStyle="stop" operator="between">
      <formula1>"Y,N,Partial"</formula1>
      <formula2>0</formula2>
    </dataValidation>
    <dataValidation sqref="K8:K22" showDropDown="0" showInputMessage="0" showErrorMessage="1" allowBlank="1" errorTitle="Invalid Entry" error="Please select from the list" type="list" errorStyle="stop" operator="between">
      <formula1>"Complete,In Progress,Not Started,Overdue"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I4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9" min="1" max="1"/>
    <col width="20" customWidth="1" style="29" min="2" max="2"/>
    <col width="32" customWidth="1" style="29" min="3" max="3"/>
    <col width="20" customWidth="1" style="29" min="4" max="4"/>
    <col width="18" customWidth="1" style="29" min="5" max="5"/>
    <col width="14" customWidth="1" style="29" min="6" max="6"/>
    <col width="16" customWidth="1" style="29" min="7" max="7"/>
    <col width="24" customWidth="1" style="29" min="8" max="8"/>
  </cols>
  <sheetData>
    <row r="1" ht="50" customHeight="1" s="30">
      <c r="A1" s="31" t="inlineStr">
        <is>
          <t>DPM-06  ·  COST TRACKER</t>
        </is>
      </c>
      <c r="I1" s="32" t="n"/>
    </row>
    <row r="2" ht="13.5" customHeight="1" s="30"/>
    <row r="3" ht="13.5" customHeight="1" s="30"/>
    <row r="4" ht="19.5" customHeight="1" s="30">
      <c r="A4" s="33" t="inlineStr">
        <is>
          <t>Project:</t>
        </is>
      </c>
      <c r="B4" s="34" t="n"/>
      <c r="C4" s="35" t="n"/>
      <c r="D4" s="34" t="n"/>
      <c r="E4" s="34" t="n"/>
      <c r="F4" s="48" t="inlineStr">
        <is>
          <t>PID Reference:</t>
        </is>
      </c>
      <c r="H4" s="35" t="n"/>
      <c r="I4" s="34" t="n"/>
    </row>
    <row r="5" ht="19.5" customHeight="1" s="30">
      <c r="A5" s="33" t="inlineStr">
        <is>
          <t>Updated by:</t>
        </is>
      </c>
      <c r="B5" s="34" t="n"/>
      <c r="C5" s="35" t="n"/>
      <c r="D5" s="34" t="n"/>
      <c r="E5" s="34" t="n"/>
      <c r="F5" s="48" t="inlineStr">
        <is>
          <t>Date:</t>
        </is>
      </c>
      <c r="H5" s="35" t="n"/>
      <c r="I5" s="34" t="n"/>
    </row>
    <row r="6" ht="6" customHeight="1" s="30"/>
    <row r="7" ht="19.5" customHeight="1" s="30">
      <c r="A7" s="47" t="inlineStr">
        <is>
          <t xml:space="preserve">  BUDGET SUMMARY</t>
        </is>
      </c>
    </row>
    <row r="8" ht="27.75" customHeight="1" s="30">
      <c r="A8" s="36" t="inlineStr">
        <is>
          <t>Cost Category</t>
        </is>
      </c>
      <c r="B8" s="36" t="inlineStr">
        <is>
          <t>Budget (£)</t>
        </is>
      </c>
      <c r="C8" s="36" t="inlineStr">
        <is>
          <t>Committed (£)</t>
        </is>
      </c>
      <c r="D8" s="36" t="inlineStr">
        <is>
          <t>Actual Spent (£)</t>
        </is>
      </c>
      <c r="E8" s="36" t="inlineStr">
        <is>
          <t>Forecast to Complete (£)</t>
        </is>
      </c>
      <c r="F8" s="36" t="inlineStr">
        <is>
          <t>Forecast Total (£)</t>
        </is>
      </c>
      <c r="G8" s="36" t="inlineStr">
        <is>
          <t>Variance (£)</t>
        </is>
      </c>
      <c r="H8" s="36" t="inlineStr">
        <is>
          <t>Variance (%)</t>
        </is>
      </c>
    </row>
    <row r="9" ht="21.75" customHeight="1" s="30">
      <c r="A9" s="48" t="inlineStr">
        <is>
          <t>Labour — Internal</t>
        </is>
      </c>
      <c r="B9" s="51" t="n"/>
      <c r="C9" s="51" t="n"/>
      <c r="D9" s="51" t="n"/>
      <c r="E9" s="51" t="n"/>
      <c r="F9" s="51">
        <f>IF(D9="","",D9+E9)</f>
        <v/>
      </c>
      <c r="G9" s="51">
        <f>IF(OR(B9="",F9=""),"",F9-B9)</f>
        <v/>
      </c>
      <c r="H9" s="52">
        <f>IF(OR(B9="",B9=0,G9=""),"",G9/B9)</f>
        <v/>
      </c>
    </row>
    <row r="10" ht="21.75" customHeight="1" s="30">
      <c r="A10" s="48" t="inlineStr">
        <is>
          <t>Labour — Sub-contract / Agency</t>
        </is>
      </c>
      <c r="B10" s="51" t="n"/>
      <c r="C10" s="51" t="n"/>
      <c r="D10" s="51" t="n"/>
      <c r="E10" s="51" t="n"/>
      <c r="F10" s="51">
        <f>IF(D10="","",D10+E10)</f>
        <v/>
      </c>
      <c r="G10" s="51">
        <f>IF(OR(B10="",F10=""),"",F10-B10)</f>
        <v/>
      </c>
      <c r="H10" s="52">
        <f>IF(OR(B10="",B10=0,G10=""),"",G10/B10)</f>
        <v/>
      </c>
    </row>
    <row r="11" ht="21.75" customHeight="1" s="30">
      <c r="A11" s="48" t="inlineStr">
        <is>
          <t>Materials &amp; Bought-in Parts</t>
        </is>
      </c>
      <c r="B11" s="51" t="n"/>
      <c r="C11" s="51" t="n"/>
      <c r="D11" s="51" t="n"/>
      <c r="E11" s="51" t="n"/>
      <c r="F11" s="51">
        <f>IF(D11="","",D11+E11)</f>
        <v/>
      </c>
      <c r="G11" s="51">
        <f>IF(OR(B11="",F11=""),"",F11-B11)</f>
        <v/>
      </c>
      <c r="H11" s="52">
        <f>IF(OR(B11="",B11=0,G11=""),"",G11/B11)</f>
        <v/>
      </c>
    </row>
    <row r="12" ht="21.75" customHeight="1" s="30">
      <c r="A12" s="48" t="inlineStr">
        <is>
          <t>Tooling &amp; Equipment</t>
        </is>
      </c>
      <c r="B12" s="51" t="n"/>
      <c r="C12" s="51" t="n"/>
      <c r="D12" s="51" t="n"/>
      <c r="E12" s="51" t="n"/>
      <c r="F12" s="51">
        <f>IF(D12="","",D12+E12)</f>
        <v/>
      </c>
      <c r="G12" s="51">
        <f>IF(OR(B12="",F12=""),"",F12-B12)</f>
        <v/>
      </c>
      <c r="H12" s="52">
        <f>IF(OR(B12="",B12=0,G12=""),"",G12/B12)</f>
        <v/>
      </c>
    </row>
    <row r="13" ht="21.75" customHeight="1" s="30">
      <c r="A13" s="48" t="inlineStr">
        <is>
          <t>Travel &amp; Accommodation</t>
        </is>
      </c>
      <c r="B13" s="51" t="n"/>
      <c r="C13" s="51" t="n"/>
      <c r="D13" s="51" t="n"/>
      <c r="E13" s="51" t="n"/>
      <c r="F13" s="51">
        <f>IF(D13="","",D13+E13)</f>
        <v/>
      </c>
      <c r="G13" s="51">
        <f>IF(OR(B13="",F13=""),"",F13-B13)</f>
        <v/>
      </c>
      <c r="H13" s="52">
        <f>IF(OR(B13="",B13=0,G13=""),"",G13/B13)</f>
        <v/>
      </c>
    </row>
    <row r="14" ht="21.75" customHeight="1" s="30">
      <c r="A14" s="48" t="inlineStr">
        <is>
          <t>Sub-contracted Services</t>
        </is>
      </c>
      <c r="B14" s="51" t="n"/>
      <c r="C14" s="51" t="n"/>
      <c r="D14" s="51" t="n"/>
      <c r="E14" s="51" t="n"/>
      <c r="F14" s="51">
        <f>IF(D14="","",D14+E14)</f>
        <v/>
      </c>
      <c r="G14" s="51">
        <f>IF(OR(B14="",F14=""),"",F14-B14)</f>
        <v/>
      </c>
      <c r="H14" s="52">
        <f>IF(OR(B14="",B14=0,G14=""),"",G14/B14)</f>
        <v/>
      </c>
    </row>
    <row r="15" ht="21.75" customHeight="1" s="30">
      <c r="A15" s="48" t="inlineStr">
        <is>
          <t>Other Direct Costs</t>
        </is>
      </c>
      <c r="B15" s="51" t="n"/>
      <c r="C15" s="51" t="n"/>
      <c r="D15" s="51" t="n"/>
      <c r="E15" s="51" t="n"/>
      <c r="F15" s="51">
        <f>IF(D15="","",D15+E15)</f>
        <v/>
      </c>
      <c r="G15" s="51">
        <f>IF(OR(B15="",F15=""),"",F15-B15)</f>
        <v/>
      </c>
      <c r="H15" s="52">
        <f>IF(OR(B15="",B15=0,G15=""),"",G15/B15)</f>
        <v/>
      </c>
    </row>
    <row r="16" ht="21.75" customHeight="1" s="30">
      <c r="A16" s="53" t="inlineStr">
        <is>
          <t>TOTAL</t>
        </is>
      </c>
      <c r="B16" s="54">
        <f>SUM(B9:B15)</f>
        <v/>
      </c>
      <c r="C16" s="54">
        <f>SUM(C9:C15)</f>
        <v/>
      </c>
      <c r="D16" s="54">
        <f>SUM(D9:D15)</f>
        <v/>
      </c>
      <c r="E16" s="54">
        <f>SUM(E9:E15)</f>
        <v/>
      </c>
      <c r="F16" s="54">
        <f>SUM(F9:F15)</f>
        <v/>
      </c>
      <c r="G16" s="54">
        <f>SUM(G9:G15)</f>
        <v/>
      </c>
      <c r="H16" s="55">
        <f>IF(OR(B16=0,B16=""),"",G16/B16)</f>
        <v/>
      </c>
    </row>
    <row r="17" ht="6" customHeight="1" s="30"/>
    <row r="18" ht="19.5" customHeight="1" s="30">
      <c r="A18" s="47" t="inlineStr">
        <is>
          <t xml:space="preserve">  SPEND LOG — Individual Transactions</t>
        </is>
      </c>
    </row>
    <row r="19" ht="24" customHeight="1" s="30">
      <c r="A19" s="56" t="inlineStr">
        <is>
          <t>Date</t>
        </is>
      </c>
      <c r="B19" s="56" t="inlineStr">
        <is>
          <t>Category</t>
        </is>
      </c>
      <c r="C19" s="56" t="inlineStr">
        <is>
          <t>Description</t>
        </is>
      </c>
      <c r="D19" s="56" t="inlineStr">
        <is>
          <t>Supplier</t>
        </is>
      </c>
      <c r="E19" s="56" t="inlineStr">
        <is>
          <t>Invoice / PO Ref</t>
        </is>
      </c>
      <c r="F19" s="56" t="inlineStr">
        <is>
          <t>Amount (£)</t>
        </is>
      </c>
      <c r="G19" s="56" t="inlineStr">
        <is>
          <t>Approved by</t>
        </is>
      </c>
      <c r="H19" s="56" t="inlineStr">
        <is>
          <t>Notes</t>
        </is>
      </c>
    </row>
    <row r="20" ht="19.5" customHeight="1" s="30">
      <c r="A20" s="57" t="n"/>
      <c r="B20" s="38" t="n"/>
      <c r="C20" s="38" t="n"/>
      <c r="D20" s="38" t="n"/>
      <c r="E20" s="38" t="n"/>
      <c r="F20" s="58" t="n"/>
      <c r="G20" s="38" t="n"/>
      <c r="H20" s="38" t="n"/>
    </row>
    <row r="21" ht="19.5" customHeight="1" s="30">
      <c r="A21" s="59" t="n"/>
      <c r="B21" s="41" t="n"/>
      <c r="C21" s="41" t="n"/>
      <c r="D21" s="41" t="n"/>
      <c r="E21" s="41" t="n"/>
      <c r="F21" s="60" t="n"/>
      <c r="G21" s="41" t="n"/>
      <c r="H21" s="41" t="n"/>
    </row>
    <row r="22" ht="19.5" customHeight="1" s="30">
      <c r="A22" s="57" t="n"/>
      <c r="B22" s="38" t="n"/>
      <c r="C22" s="38" t="n"/>
      <c r="D22" s="38" t="n"/>
      <c r="E22" s="38" t="n"/>
      <c r="F22" s="58" t="n"/>
      <c r="G22" s="38" t="n"/>
      <c r="H22" s="38" t="n"/>
    </row>
    <row r="23" ht="19.5" customHeight="1" s="30">
      <c r="A23" s="59" t="n"/>
      <c r="B23" s="41" t="n"/>
      <c r="C23" s="41" t="n"/>
      <c r="D23" s="41" t="n"/>
      <c r="E23" s="41" t="n"/>
      <c r="F23" s="60" t="n"/>
      <c r="G23" s="41" t="n"/>
      <c r="H23" s="41" t="n"/>
    </row>
    <row r="24" ht="19.5" customHeight="1" s="30">
      <c r="A24" s="57" t="n"/>
      <c r="B24" s="38" t="n"/>
      <c r="C24" s="38" t="n"/>
      <c r="D24" s="38" t="n"/>
      <c r="E24" s="38" t="n"/>
      <c r="F24" s="58" t="n"/>
      <c r="G24" s="38" t="n"/>
      <c r="H24" s="38" t="n"/>
    </row>
    <row r="25" ht="19.5" customHeight="1" s="30">
      <c r="A25" s="59" t="n"/>
      <c r="B25" s="41" t="n"/>
      <c r="C25" s="41" t="n"/>
      <c r="D25" s="41" t="n"/>
      <c r="E25" s="41" t="n"/>
      <c r="F25" s="60" t="n"/>
      <c r="G25" s="41" t="n"/>
      <c r="H25" s="41" t="n"/>
    </row>
    <row r="26" ht="19.5" customHeight="1" s="30">
      <c r="A26" s="57" t="n"/>
      <c r="B26" s="38" t="n"/>
      <c r="C26" s="38" t="n"/>
      <c r="D26" s="38" t="n"/>
      <c r="E26" s="38" t="n"/>
      <c r="F26" s="58" t="n"/>
      <c r="G26" s="38" t="n"/>
      <c r="H26" s="38" t="n"/>
    </row>
    <row r="27" ht="19.5" customHeight="1" s="30">
      <c r="A27" s="59" t="n"/>
      <c r="B27" s="41" t="n"/>
      <c r="C27" s="41" t="n"/>
      <c r="D27" s="41" t="n"/>
      <c r="E27" s="41" t="n"/>
      <c r="F27" s="60" t="n"/>
      <c r="G27" s="41" t="n"/>
      <c r="H27" s="41" t="n"/>
    </row>
    <row r="28" ht="19.5" customHeight="1" s="30">
      <c r="A28" s="57" t="n"/>
      <c r="B28" s="38" t="n"/>
      <c r="C28" s="38" t="n"/>
      <c r="D28" s="38" t="n"/>
      <c r="E28" s="38" t="n"/>
      <c r="F28" s="58" t="n"/>
      <c r="G28" s="38" t="n"/>
      <c r="H28" s="38" t="n"/>
    </row>
    <row r="29" ht="19.5" customHeight="1" s="30">
      <c r="A29" s="59" t="n"/>
      <c r="B29" s="41" t="n"/>
      <c r="C29" s="41" t="n"/>
      <c r="D29" s="41" t="n"/>
      <c r="E29" s="41" t="n"/>
      <c r="F29" s="60" t="n"/>
      <c r="G29" s="41" t="n"/>
      <c r="H29" s="41" t="n"/>
    </row>
    <row r="30" ht="19.5" customHeight="1" s="30">
      <c r="A30" s="57" t="n"/>
      <c r="B30" s="38" t="n"/>
      <c r="C30" s="38" t="n"/>
      <c r="D30" s="38" t="n"/>
      <c r="E30" s="38" t="n"/>
      <c r="F30" s="58" t="n"/>
      <c r="G30" s="38" t="n"/>
      <c r="H30" s="38" t="n"/>
    </row>
    <row r="31" ht="19.5" customHeight="1" s="30">
      <c r="A31" s="59" t="n"/>
      <c r="B31" s="41" t="n"/>
      <c r="C31" s="41" t="n"/>
      <c r="D31" s="41" t="n"/>
      <c r="E31" s="41" t="n"/>
      <c r="F31" s="60" t="n"/>
      <c r="G31" s="41" t="n"/>
      <c r="H31" s="41" t="n"/>
    </row>
    <row r="32" ht="19.5" customHeight="1" s="30">
      <c r="A32" s="57" t="n"/>
      <c r="B32" s="38" t="n"/>
      <c r="C32" s="38" t="n"/>
      <c r="D32" s="38" t="n"/>
      <c r="E32" s="38" t="n"/>
      <c r="F32" s="58" t="n"/>
      <c r="G32" s="38" t="n"/>
      <c r="H32" s="38" t="n"/>
    </row>
    <row r="33" ht="19.5" customHeight="1" s="30">
      <c r="A33" s="59" t="n"/>
      <c r="B33" s="41" t="n"/>
      <c r="C33" s="41" t="n"/>
      <c r="D33" s="41" t="n"/>
      <c r="E33" s="41" t="n"/>
      <c r="F33" s="60" t="n"/>
      <c r="G33" s="41" t="n"/>
      <c r="H33" s="41" t="n"/>
    </row>
    <row r="34" ht="19.5" customHeight="1" s="30">
      <c r="A34" s="57" t="n"/>
      <c r="B34" s="38" t="n"/>
      <c r="C34" s="38" t="n"/>
      <c r="D34" s="38" t="n"/>
      <c r="E34" s="38" t="n"/>
      <c r="F34" s="58" t="n"/>
      <c r="G34" s="38" t="n"/>
      <c r="H34" s="38" t="n"/>
    </row>
    <row r="35" ht="19.5" customHeight="1" s="30">
      <c r="A35" s="59" t="n"/>
      <c r="B35" s="41" t="n"/>
      <c r="C35" s="41" t="n"/>
      <c r="D35" s="41" t="n"/>
      <c r="E35" s="41" t="n"/>
      <c r="F35" s="60" t="n"/>
      <c r="G35" s="41" t="n"/>
      <c r="H35" s="41" t="n"/>
    </row>
    <row r="36" ht="19.5" customHeight="1" s="30">
      <c r="A36" s="57" t="n"/>
      <c r="B36" s="38" t="n"/>
      <c r="C36" s="38" t="n"/>
      <c r="D36" s="38" t="n"/>
      <c r="E36" s="38" t="n"/>
      <c r="F36" s="58" t="n"/>
      <c r="G36" s="38" t="n"/>
      <c r="H36" s="38" t="n"/>
    </row>
    <row r="37" ht="19.5" customHeight="1" s="30">
      <c r="A37" s="59" t="n"/>
      <c r="B37" s="41" t="n"/>
      <c r="C37" s="41" t="n"/>
      <c r="D37" s="41" t="n"/>
      <c r="E37" s="41" t="n"/>
      <c r="F37" s="60" t="n"/>
      <c r="G37" s="41" t="n"/>
      <c r="H37" s="41" t="n"/>
    </row>
    <row r="38" ht="19.5" customHeight="1" s="30">
      <c r="A38" s="57" t="n"/>
      <c r="B38" s="38" t="n"/>
      <c r="C38" s="38" t="n"/>
      <c r="D38" s="38" t="n"/>
      <c r="E38" s="38" t="n"/>
      <c r="F38" s="58" t="n"/>
      <c r="G38" s="38" t="n"/>
      <c r="H38" s="38" t="n"/>
    </row>
    <row r="39" ht="19.5" customHeight="1" s="30">
      <c r="A39" s="59" t="n"/>
      <c r="B39" s="41" t="n"/>
      <c r="C39" s="41" t="n"/>
      <c r="D39" s="41" t="n"/>
      <c r="E39" s="41" t="n"/>
      <c r="F39" s="60" t="n"/>
      <c r="G39" s="41" t="n"/>
      <c r="H39" s="41" t="n"/>
    </row>
    <row r="40" ht="19.5" customHeight="1" s="30">
      <c r="A40" s="57" t="n"/>
      <c r="B40" s="38" t="n"/>
      <c r="C40" s="38" t="n"/>
      <c r="D40" s="38" t="n"/>
      <c r="E40" s="38" t="n"/>
      <c r="F40" s="58" t="n"/>
      <c r="G40" s="38" t="n"/>
      <c r="H40" s="38" t="n"/>
    </row>
    <row r="41" ht="19.5" customHeight="1" s="30">
      <c r="A41" s="59" t="n"/>
      <c r="B41" s="41" t="n"/>
      <c r="C41" s="41" t="n"/>
      <c r="D41" s="41" t="n"/>
      <c r="E41" s="41" t="n"/>
      <c r="F41" s="60" t="n"/>
      <c r="G41" s="41" t="n"/>
      <c r="H41" s="41" t="n"/>
    </row>
    <row r="42" ht="19.5" customHeight="1" s="30">
      <c r="A42" s="57" t="n"/>
      <c r="B42" s="38" t="n"/>
      <c r="C42" s="38" t="n"/>
      <c r="D42" s="38" t="n"/>
      <c r="E42" s="38" t="n"/>
      <c r="F42" s="58" t="n"/>
      <c r="G42" s="38" t="n"/>
      <c r="H42" s="38" t="n"/>
    </row>
    <row r="43" ht="19.5" customHeight="1" s="30">
      <c r="A43" s="59" t="n"/>
      <c r="B43" s="41" t="n"/>
      <c r="C43" s="41" t="n"/>
      <c r="D43" s="41" t="n"/>
      <c r="E43" s="41" t="n"/>
      <c r="F43" s="60" t="n"/>
      <c r="G43" s="41" t="n"/>
      <c r="H43" s="41" t="n"/>
    </row>
    <row r="44" ht="19.5" customHeight="1" s="30">
      <c r="A44" s="57" t="n"/>
      <c r="B44" s="38" t="n"/>
      <c r="C44" s="38" t="n"/>
      <c r="D44" s="38" t="n"/>
      <c r="E44" s="38" t="n"/>
      <c r="F44" s="58" t="n"/>
      <c r="G44" s="38" t="n"/>
      <c r="H44" s="38" t="n"/>
    </row>
    <row r="45" ht="19.5" customHeight="1" s="30">
      <c r="A45" s="59" t="n"/>
      <c r="B45" s="41" t="n"/>
      <c r="C45" s="41" t="n"/>
      <c r="D45" s="41" t="n"/>
      <c r="E45" s="41" t="n"/>
      <c r="F45" s="60" t="n"/>
      <c r="G45" s="41" t="n"/>
      <c r="H45" s="41" t="n"/>
    </row>
    <row r="46" ht="19.5" customHeight="1" s="30">
      <c r="A46" s="57" t="n"/>
      <c r="B46" s="38" t="n"/>
      <c r="C46" s="38" t="n"/>
      <c r="D46" s="38" t="n"/>
      <c r="E46" s="38" t="n"/>
      <c r="F46" s="58" t="n"/>
      <c r="G46" s="38" t="n"/>
      <c r="H46" s="38" t="n"/>
    </row>
    <row r="47" ht="19.5" customHeight="1" s="30">
      <c r="A47" s="59" t="n"/>
      <c r="B47" s="41" t="n"/>
      <c r="C47" s="41" t="n"/>
      <c r="D47" s="41" t="n"/>
      <c r="E47" s="41" t="n"/>
      <c r="F47" s="60" t="n"/>
      <c r="G47" s="41" t="n"/>
      <c r="H47" s="41" t="n"/>
    </row>
    <row r="48" ht="19.5" customHeight="1" s="30">
      <c r="A48" s="57" t="n"/>
      <c r="B48" s="38" t="n"/>
      <c r="C48" s="38" t="n"/>
      <c r="D48" s="38" t="n"/>
      <c r="E48" s="38" t="n"/>
      <c r="F48" s="58" t="n"/>
      <c r="G48" s="38" t="n"/>
      <c r="H48" s="38" t="n"/>
    </row>
    <row r="49" ht="19.5" customHeight="1" s="30">
      <c r="A49" s="59" t="n"/>
      <c r="B49" s="41" t="n"/>
      <c r="C49" s="41" t="n"/>
      <c r="D49" s="41" t="n"/>
      <c r="E49" s="41" t="n"/>
      <c r="F49" s="60" t="n"/>
      <c r="G49" s="41" t="n"/>
      <c r="H49" s="41" t="n"/>
    </row>
  </sheetData>
  <mergeCells count="9">
    <mergeCell ref="A4:B4"/>
    <mergeCell ref="A18:H18"/>
    <mergeCell ref="C5:E5"/>
    <mergeCell ref="A7:H7"/>
    <mergeCell ref="A5:B5"/>
    <mergeCell ref="C4:E4"/>
    <mergeCell ref="H5:I5"/>
    <mergeCell ref="H4:I4"/>
    <mergeCell ref="A1:H1"/>
  </mergeCells>
  <dataValidations count="1">
    <dataValidation sqref="B20:B49" showDropDown="0" showInputMessage="0" showErrorMessage="1" allowBlank="1" errorTitle="Invalid Entry" error="Please select from the list" type="list" errorStyle="stop" operator="between">
      <formula1>"Labour — Internal,Labour — Sub-contract / Agency,Materials &amp; Bought-in Parts,Tooling &amp; Equipment,Travel &amp; Accommodation,Sub-contracted Services,Other Direct Costs"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F5E9BC-7E9E-40A5-843F-5608C5BB32E6}"/>
</file>

<file path=customXml/itemProps2.xml><?xml version="1.0" encoding="utf-8"?>
<ds:datastoreItem xmlns:ds="http://schemas.openxmlformats.org/officeDocument/2006/customXml" ds:itemID="{EE427E6E-2FED-4BC0-A916-EF9001C42307}"/>
</file>

<file path=customXml/itemProps3.xml><?xml version="1.0" encoding="utf-8"?>
<ds:datastoreItem xmlns:ds="http://schemas.openxmlformats.org/officeDocument/2006/customXml" ds:itemID="{9F93D4FB-3B5D-4B9B-BB3A-DB7413E5037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DPM-06 Project Plan On Time In Full Tracker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