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001E3C"/>
      <sz val="11"/>
    </font>
    <font>
      <name val="Arial"/>
      <charset val="1"/>
      <family val="0"/>
      <color rgb="FF5B595A"/>
      <sz val="10"/>
    </font>
    <font>
      <name val="Arial"/>
      <charset val="1"/>
      <family val="0"/>
      <b val="1"/>
      <color rgb="FFFFFFFF"/>
      <sz val="12"/>
    </font>
    <font>
      <name val="Arial"/>
      <charset val="1"/>
      <family val="0"/>
      <b val="1"/>
      <color rgb="FF001E3C"/>
      <sz val="10"/>
    </font>
    <font>
      <name val="Arial"/>
      <charset val="1"/>
      <family val="0"/>
      <b val="1"/>
      <color rgb="FFFFFFFF"/>
      <sz val="10"/>
    </font>
    <font>
      <name val="Arial"/>
      <charset val="1"/>
      <family val="0"/>
      <color rgb="FF001E3C"/>
      <sz val="10"/>
    </font>
    <font>
      <name val="Arial"/>
      <charset val="1"/>
      <family val="0"/>
      <b val="1"/>
      <color rgb="FFFFFFFF"/>
      <sz val="14"/>
    </font>
    <font>
      <name val="Arial"/>
      <charset val="1"/>
      <family val="0"/>
      <b val="1"/>
      <color rgb="FF5B595A"/>
      <sz val="10"/>
    </font>
  </fonts>
  <fills count="8">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009FE3"/>
        <bgColor rgb="FF008080"/>
      </patternFill>
    </fill>
    <fill>
      <patternFill patternType="solid">
        <fgColor rgb="FFFFFFFF"/>
        <bgColor rgb="FFF2F2F2"/>
      </patternFill>
    </fill>
    <fill>
      <patternFill patternType="solid">
        <fgColor rgb="FFF2F2F2"/>
        <bgColor rgb="FFFFFFFF"/>
      </patternFill>
    </fill>
    <fill>
      <patternFill patternType="solid">
        <fgColor rgb="FF83348F"/>
        <bgColor rgb="FF993366"/>
      </patternFill>
    </fill>
  </fills>
  <borders count="15">
    <border>
      <left/>
      <right/>
      <top/>
      <bottom/>
      <diagonal/>
    </border>
    <border>
      <left style="thin">
        <color rgb="FF001E3C"/>
      </left>
      <right style="thin">
        <color rgb="FF001E3C"/>
      </right>
      <top style="thin">
        <color rgb="FF001E3C"/>
      </top>
      <bottom style="thin">
        <color rgb="FF001E3C"/>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1E3C"/>
      </left>
      <right/>
      <top style="thin">
        <color rgb="FF001E3C"/>
      </top>
      <bottom style="thin">
        <color rgb="FF001E3C"/>
      </bottom>
      <diagonal/>
    </border>
    <border>
      <left style="thin">
        <color rgb="FF009FE3"/>
      </left>
      <right/>
      <top style="thin">
        <color rgb="FF009FE3"/>
      </top>
      <bottom style="thin">
        <color rgb="FF009FE3"/>
      </bottom>
      <diagonal/>
    </border>
    <border>
      <left/>
      <right/>
      <top style="thin">
        <color rgb="FF001E3C"/>
      </top>
      <bottom/>
      <diagonal/>
    </border>
    <border>
      <left/>
      <right style="thin">
        <color rgb="FF001E3C"/>
      </right>
      <top style="thin">
        <color rgb="FF001E3C"/>
      </top>
      <bottom/>
      <diagonal/>
    </border>
    <border>
      <left/>
      <right/>
      <top style="thin">
        <color rgb="FF001E3C"/>
      </top>
      <bottom style="thin">
        <color rgb="FF001E3C"/>
      </bottom>
      <diagonal/>
    </border>
    <border>
      <left/>
      <right style="thin">
        <color rgb="FF001E3C"/>
      </right>
      <top style="thin">
        <color rgb="FF001E3C"/>
      </top>
      <bottom style="thin">
        <color rgb="FF001E3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1" applyAlignment="1" pivotButton="0" quotePrefix="0" xfId="0">
      <alignment horizontal="general" vertical="bottom"/>
    </xf>
    <xf numFmtId="0" fontId="4" fillId="2" borderId="1" applyAlignment="1" pivotButton="0" quotePrefix="0" xfId="0">
      <alignment horizontal="left" vertical="center"/>
    </xf>
    <xf numFmtId="0" fontId="5" fillId="3" borderId="2" applyAlignment="1" pivotButton="0" quotePrefix="0" xfId="0">
      <alignment horizontal="left" vertical="center"/>
    </xf>
    <xf numFmtId="0" fontId="6" fillId="0" borderId="3" applyAlignment="1" pivotButton="0" quotePrefix="0" xfId="0">
      <alignment horizontal="left" vertical="center" wrapText="1"/>
    </xf>
    <xf numFmtId="0" fontId="7" fillId="4" borderId="0" applyAlignment="1" pivotButton="0" quotePrefix="0" xfId="0">
      <alignment horizontal="left" vertical="center"/>
    </xf>
    <xf numFmtId="0" fontId="8" fillId="2" borderId="4" applyAlignment="1" pivotButton="0" quotePrefix="0" xfId="0">
      <alignment horizontal="left" vertical="center" wrapText="1"/>
    </xf>
    <xf numFmtId="0" fontId="9" fillId="2" borderId="4" applyAlignment="1" pivotButton="0" quotePrefix="0" xfId="0">
      <alignment horizontal="left" vertical="center" wrapText="1"/>
    </xf>
    <xf numFmtId="0" fontId="6" fillId="5" borderId="4" applyAlignment="1" pivotButton="0" quotePrefix="0" xfId="0">
      <alignment horizontal="left" vertical="center" wrapText="1"/>
    </xf>
    <xf numFmtId="0" fontId="10" fillId="5" borderId="4" applyAlignment="1" pivotButton="0" quotePrefix="0" xfId="0">
      <alignment horizontal="left" vertical="center" wrapText="1"/>
    </xf>
    <xf numFmtId="0" fontId="6" fillId="6" borderId="4" applyAlignment="1" pivotButton="0" quotePrefix="0" xfId="0">
      <alignment horizontal="left" vertical="center" wrapText="1"/>
    </xf>
    <xf numFmtId="0" fontId="10" fillId="6" borderId="4" applyAlignment="1" pivotButton="0" quotePrefix="0" xfId="0">
      <alignment horizontal="left" vertical="center" wrapText="1"/>
    </xf>
    <xf numFmtId="0" fontId="11" fillId="2" borderId="5" applyAlignment="1" pivotButton="0" quotePrefix="0" xfId="0">
      <alignment horizontal="left" vertical="center"/>
    </xf>
    <xf numFmtId="0" fontId="12" fillId="3" borderId="6" applyAlignment="1" pivotButton="0" quotePrefix="0" xfId="0">
      <alignment horizontal="left" vertical="center"/>
    </xf>
    <xf numFmtId="0" fontId="9" fillId="4" borderId="2" applyAlignment="1" pivotButton="0" quotePrefix="0" xfId="0">
      <alignment horizontal="center" vertical="center" wrapText="1"/>
    </xf>
    <xf numFmtId="164" fontId="6" fillId="6" borderId="4" applyAlignment="1" pivotButton="0" quotePrefix="0" xfId="0">
      <alignment horizontal="left" vertical="center" wrapText="1"/>
    </xf>
    <xf numFmtId="164" fontId="6" fillId="5" borderId="4" applyAlignment="1" pivotButton="0" quotePrefix="0" xfId="0">
      <alignment horizontal="left" vertical="center" wrapText="1"/>
    </xf>
    <xf numFmtId="0" fontId="6" fillId="0" borderId="0" applyAlignment="1" pivotButton="0" quotePrefix="0" xfId="0">
      <alignment horizontal="general" vertical="bottom"/>
    </xf>
    <xf numFmtId="0" fontId="11" fillId="2" borderId="0" applyAlignment="1" pivotButton="0" quotePrefix="0" xfId="0">
      <alignment horizontal="left" vertical="center"/>
    </xf>
    <xf numFmtId="0" fontId="9" fillId="4" borderId="2" applyAlignment="1" pivotButton="0" quotePrefix="0" xfId="0">
      <alignment horizontal="center" vertical="center"/>
    </xf>
    <xf numFmtId="0" fontId="12" fillId="3" borderId="4" applyAlignment="1" pivotButton="0" quotePrefix="0" xfId="0">
      <alignment horizontal="left" vertical="center"/>
    </xf>
    <xf numFmtId="0" fontId="6" fillId="3" borderId="4" applyAlignment="1" pivotButton="0" quotePrefix="0" xfId="0">
      <alignment horizontal="center" vertical="center"/>
    </xf>
    <xf numFmtId="0" fontId="12" fillId="5" borderId="4" applyAlignment="1" pivotButton="0" quotePrefix="0" xfId="0">
      <alignment horizontal="left" vertical="center"/>
    </xf>
    <xf numFmtId="0" fontId="6" fillId="5" borderId="4" applyAlignment="1" pivotButton="0" quotePrefix="0" xfId="0">
      <alignment horizontal="center" vertical="center"/>
    </xf>
    <xf numFmtId="0" fontId="6" fillId="5" borderId="4" applyAlignment="1" pivotButton="0" quotePrefix="0" xfId="0">
      <alignment horizontal="center" vertical="center"/>
    </xf>
    <xf numFmtId="0" fontId="7" fillId="7" borderId="0" applyAlignment="1" pivotButton="0" quotePrefix="0" xfId="0">
      <alignment horizontal="left" vertical="center"/>
    </xf>
    <xf numFmtId="0" fontId="9" fillId="2" borderId="2" applyAlignment="1" pivotButton="0" quotePrefix="0" xfId="0">
      <alignment horizontal="center" vertical="center"/>
    </xf>
    <xf numFmtId="0" fontId="6" fillId="5" borderId="4" applyAlignment="1" pivotButton="0" quotePrefix="0" xfId="0">
      <alignment horizontal="left" vertical="center"/>
    </xf>
    <xf numFmtId="164" fontId="6" fillId="5" borderId="4" applyAlignment="1" pivotButton="0" quotePrefix="0" xfId="0">
      <alignment horizontal="left" vertical="center"/>
    </xf>
    <xf numFmtId="0" fontId="6" fillId="6" borderId="4" applyAlignment="1" pivotButton="0" quotePrefix="0" xfId="0">
      <alignment horizontal="left" vertical="center"/>
    </xf>
    <xf numFmtId="164" fontId="6" fillId="6" borderId="4"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0" fillId="2" borderId="1" applyAlignment="1" pivotButton="0" quotePrefix="0" xfId="0">
      <alignment horizontal="general" vertical="bottom"/>
    </xf>
    <xf numFmtId="0" fontId="4" fillId="2" borderId="1" applyAlignment="1" pivotButton="0" quotePrefix="0" xfId="0">
      <alignment horizontal="left" vertical="center"/>
    </xf>
    <xf numFmtId="0" fontId="0" fillId="0" borderId="9" pivotButton="0" quotePrefix="0" xfId="0"/>
    <xf numFmtId="0" fontId="0" fillId="0" borderId="10" pivotButton="0" quotePrefix="0" xfId="0"/>
    <xf numFmtId="0" fontId="5" fillId="3" borderId="2" applyAlignment="1" pivotButton="0" quotePrefix="0" xfId="0">
      <alignment horizontal="left" vertical="center"/>
    </xf>
    <xf numFmtId="0" fontId="6" fillId="0" borderId="3" applyAlignment="1" pivotButton="0" quotePrefix="0" xfId="0">
      <alignment horizontal="left" vertical="center" wrapText="1"/>
    </xf>
    <xf numFmtId="0" fontId="0" fillId="0" borderId="12" pivotButton="0" quotePrefix="0" xfId="0"/>
    <xf numFmtId="0" fontId="7" fillId="4" borderId="0" applyAlignment="1" pivotButton="0" quotePrefix="0" xfId="0">
      <alignment horizontal="left" vertical="center"/>
    </xf>
    <xf numFmtId="0" fontId="8" fillId="2" borderId="4" applyAlignment="1" pivotButton="0" quotePrefix="0" xfId="0">
      <alignment horizontal="left" vertical="center" wrapText="1"/>
    </xf>
    <xf numFmtId="0" fontId="9" fillId="2" borderId="4" applyAlignment="1" pivotButton="0" quotePrefix="0" xfId="0">
      <alignment horizontal="left" vertical="center" wrapText="1"/>
    </xf>
    <xf numFmtId="0" fontId="6" fillId="5" borderId="4" applyAlignment="1" pivotButton="0" quotePrefix="0" xfId="0">
      <alignment horizontal="left" vertical="center" wrapText="1"/>
    </xf>
    <xf numFmtId="0" fontId="10" fillId="5" borderId="4" applyAlignment="1" pivotButton="0" quotePrefix="0" xfId="0">
      <alignment horizontal="left" vertical="center" wrapText="1"/>
    </xf>
    <xf numFmtId="0" fontId="6" fillId="6" borderId="4" applyAlignment="1" pivotButton="0" quotePrefix="0" xfId="0">
      <alignment horizontal="left" vertical="center" wrapText="1"/>
    </xf>
    <xf numFmtId="0" fontId="10" fillId="6" borderId="4" applyAlignment="1" pivotButton="0" quotePrefix="0" xfId="0">
      <alignment horizontal="left" vertical="center" wrapText="1"/>
    </xf>
    <xf numFmtId="0" fontId="11" fillId="2" borderId="5" applyAlignment="1" pivotButton="0" quotePrefix="0" xfId="0">
      <alignment horizontal="left" vertical="center"/>
    </xf>
    <xf numFmtId="0" fontId="12" fillId="3" borderId="6" applyAlignment="1" pivotButton="0" quotePrefix="0" xfId="0">
      <alignment horizontal="left" vertical="center"/>
    </xf>
    <xf numFmtId="0" fontId="0" fillId="0" borderId="14" pivotButton="0" quotePrefix="0" xfId="0"/>
    <xf numFmtId="0" fontId="9" fillId="4" borderId="2" applyAlignment="1" pivotButton="0" quotePrefix="0" xfId="0">
      <alignment horizontal="center" vertical="center" wrapText="1"/>
    </xf>
    <xf numFmtId="164" fontId="6" fillId="6" borderId="4" applyAlignment="1" pivotButton="0" quotePrefix="0" xfId="0">
      <alignment horizontal="left" vertical="center" wrapText="1"/>
    </xf>
    <xf numFmtId="164" fontId="6" fillId="5" borderId="4" applyAlignment="1" pivotButton="0" quotePrefix="0" xfId="0">
      <alignment horizontal="left" vertical="center" wrapText="1"/>
    </xf>
    <xf numFmtId="0" fontId="6" fillId="0" borderId="0" applyAlignment="1" pivotButton="0" quotePrefix="0" xfId="0">
      <alignment horizontal="general" vertical="bottom"/>
    </xf>
    <xf numFmtId="0" fontId="11" fillId="2" borderId="0" applyAlignment="1" pivotButton="0" quotePrefix="0" xfId="0">
      <alignment horizontal="left" vertical="center"/>
    </xf>
    <xf numFmtId="0" fontId="9" fillId="4" borderId="2" applyAlignment="1" pivotButton="0" quotePrefix="0" xfId="0">
      <alignment horizontal="center" vertical="center"/>
    </xf>
    <xf numFmtId="0" fontId="12" fillId="3" borderId="4" applyAlignment="1" pivotButton="0" quotePrefix="0" xfId="0">
      <alignment horizontal="left" vertical="center"/>
    </xf>
    <xf numFmtId="0" fontId="6" fillId="3" borderId="4" applyAlignment="1" pivotButton="0" quotePrefix="0" xfId="0">
      <alignment horizontal="center" vertical="center"/>
    </xf>
    <xf numFmtId="0" fontId="12" fillId="5" borderId="4" applyAlignment="1" pivotButton="0" quotePrefix="0" xfId="0">
      <alignment horizontal="left" vertical="center"/>
    </xf>
    <xf numFmtId="0" fontId="6" fillId="5" borderId="4" applyAlignment="1" pivotButton="0" quotePrefix="0" xfId="0">
      <alignment horizontal="center" vertical="center"/>
    </xf>
    <xf numFmtId="0" fontId="7" fillId="7" borderId="0" applyAlignment="1" pivotButton="0" quotePrefix="0" xfId="0">
      <alignment horizontal="left" vertical="center"/>
    </xf>
    <xf numFmtId="0" fontId="9" fillId="2" borderId="2" applyAlignment="1" pivotButton="0" quotePrefix="0" xfId="0">
      <alignment horizontal="center" vertical="center"/>
    </xf>
    <xf numFmtId="0" fontId="6" fillId="5" borderId="4" applyAlignment="1" pivotButton="0" quotePrefix="0" xfId="0">
      <alignment horizontal="left" vertical="center"/>
    </xf>
    <xf numFmtId="164" fontId="6" fillId="5" borderId="4" applyAlignment="1" pivotButton="0" quotePrefix="0" xfId="0">
      <alignment horizontal="left" vertical="center"/>
    </xf>
    <xf numFmtId="0" fontId="6" fillId="6" borderId="4" applyAlignment="1" pivotButton="0" quotePrefix="0" xfId="0">
      <alignment horizontal="left" vertical="center"/>
    </xf>
    <xf numFmtId="164" fontId="6" fillId="6" borderId="4"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color rgb="FF375623"/>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83348F"/>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tabColor rgb="0029ABE2"/>
    <outlinePr summaryBelow="1" summaryRight="1"/>
    <pageSetUpPr fitToPage="0"/>
  </sheetPr>
  <dimension ref="A2:G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2" min="1" max="1"/>
    <col width="40" customWidth="1" style="32" min="2" max="2"/>
    <col width="60" customWidth="1" style="32" min="3" max="3"/>
    <col width="80" customWidth="1" style="32" min="4" max="4"/>
  </cols>
  <sheetData>
    <row r="1" ht="50" customHeight="1" s="33"/>
    <row r="2" ht="36" customHeight="1" s="33">
      <c r="A2" s="34" t="n"/>
      <c r="B2" s="35" t="inlineStr">
        <is>
          <t>NSS-01c  |  NUCLEAR SECTOR AWARENESS REGISTER  |  Instructions</t>
        </is>
      </c>
      <c r="C2" s="36" t="n"/>
      <c r="D2" s="36" t="n"/>
      <c r="E2" s="36" t="n"/>
      <c r="F2" s="36" t="n"/>
      <c r="G2" s="37" t="n"/>
    </row>
    <row r="4" ht="43.5" customHeight="1" s="33">
      <c r="B4" s="38" t="inlineStr">
        <is>
          <t>PURPOSE</t>
        </is>
      </c>
      <c r="C4" s="39" t="inlineStr">
        <is>
          <t>This register records nuclear sector awareness training completed by individuals across the organisation. It provides evidence of workforce awareness for the Nuclear Sector Specific (NSS) element of the F4N assessment and forms a live management tool for tracking training currency.</t>
        </is>
      </c>
      <c r="D4" s="40" t="n"/>
      <c r="E4" s="40" t="n"/>
      <c r="F4" s="40" t="n"/>
      <c r="G4" s="40" t="n"/>
    </row>
    <row r="5" ht="43.5" customHeight="1" s="33">
      <c r="B5" s="38" t="inlineStr">
        <is>
          <t>HOW TO USE</t>
        </is>
      </c>
      <c r="C5" s="39" t="inlineStr">
        <is>
          <t>Complete the 'Register' sheet for each person who completes a nuclear sector awareness activity. Record every instance of awareness training, whether that is a formal course, an internal toolbox talk, an online module, or a briefing session. One row per person per activity.</t>
        </is>
      </c>
      <c r="D5" s="40" t="n"/>
      <c r="E5" s="40" t="n"/>
      <c r="F5" s="40" t="n"/>
      <c r="G5" s="40" t="n"/>
    </row>
    <row r="6" ht="43.5" customHeight="1" s="33">
      <c r="B6" s="38" t="inlineStr">
        <is>
          <t>SUMMARY SHEET</t>
        </is>
      </c>
      <c r="C6" s="39" t="inlineStr">
        <is>
          <t>The 'Summary' sheet automatically calculates coverage statistics and highlights overdue refresher training. Review this monthly as part of your management routine.</t>
        </is>
      </c>
      <c r="D6" s="40" t="n"/>
      <c r="E6" s="40" t="n"/>
      <c r="F6" s="40" t="n"/>
      <c r="G6" s="40" t="n"/>
    </row>
    <row r="7" ht="43.5" customHeight="1" s="33">
      <c r="B7" s="38" t="inlineStr">
        <is>
          <t>FREQUENCY</t>
        </is>
      </c>
      <c r="C7" s="39" t="inlineStr">
        <is>
          <t>Nuclear sector awareness training should be refreshed at least every two years for all staff involved in nuclear work. The register flags individuals whose training is approaching or past the refresh date.</t>
        </is>
      </c>
      <c r="D7" s="40" t="n"/>
      <c r="E7" s="40" t="n"/>
      <c r="F7" s="40" t="n"/>
      <c r="G7" s="40" t="n"/>
    </row>
    <row r="8" ht="43.5" customHeight="1" s="33">
      <c r="B8" s="38" t="inlineStr">
        <is>
          <t>RAG STATUS</t>
        </is>
      </c>
      <c r="C8" s="39" t="inlineStr">
        <is>
          <t>Green = training current (more than 3 months to refresh date). Amber = approaching refresh (within 3 months). Red = overdue. Blank = not yet trained.</t>
        </is>
      </c>
      <c r="D8" s="40" t="n"/>
      <c r="E8" s="40" t="n"/>
      <c r="F8" s="40" t="n"/>
      <c r="G8" s="40" t="n"/>
    </row>
    <row r="9" ht="43.5" customHeight="1" s="33">
      <c r="B9" s="38" t="inlineStr">
        <is>
          <t>DOCUMENT CONTROL</t>
        </is>
      </c>
      <c r="C9" s="39" t="inlineStr">
        <is>
          <t>Update the version number on the Summary sheet whenever a significant change is made to scope or content. Retain previous versions as controlled records.</t>
        </is>
      </c>
      <c r="D9" s="40" t="n"/>
      <c r="E9" s="40" t="n"/>
      <c r="F9" s="40" t="n"/>
      <c r="G9" s="40" t="n"/>
    </row>
    <row r="11" ht="25.5" customHeight="1" s="33">
      <c r="B11" s="41" t="inlineStr">
        <is>
          <t>COLUMN GUIDE</t>
        </is>
      </c>
    </row>
    <row r="12" ht="19.5" customHeight="1" s="33">
      <c r="B12" s="42" t="inlineStr">
        <is>
          <t>Column</t>
        </is>
      </c>
      <c r="C12" s="42" t="inlineStr">
        <is>
          <t>Field Name</t>
        </is>
      </c>
      <c r="D12" s="43" t="inlineStr">
        <is>
          <t>Description</t>
        </is>
      </c>
    </row>
    <row r="13" ht="19.5" customHeight="1" s="33">
      <c r="B13" s="44" t="inlineStr">
        <is>
          <t>A</t>
        </is>
      </c>
      <c r="C13" s="45" t="inlineStr">
        <is>
          <t>Ref</t>
        </is>
      </c>
      <c r="D13" s="44" t="inlineStr">
        <is>
          <t>Auto-generated reference number</t>
        </is>
      </c>
    </row>
    <row r="14" ht="19.5" customHeight="1" s="33">
      <c r="B14" s="46" t="inlineStr">
        <is>
          <t>B</t>
        </is>
      </c>
      <c r="C14" s="47" t="inlineStr">
        <is>
          <t>Full Name</t>
        </is>
      </c>
      <c r="D14" s="46" t="inlineStr">
        <is>
          <t>Employee full name</t>
        </is>
      </c>
    </row>
    <row r="15" ht="19.5" customHeight="1" s="33">
      <c r="B15" s="44" t="inlineStr">
        <is>
          <t>C</t>
        </is>
      </c>
      <c r="C15" s="45" t="inlineStr">
        <is>
          <t>Job Title</t>
        </is>
      </c>
      <c r="D15" s="44" t="inlineStr">
        <is>
          <t>Job title or role</t>
        </is>
      </c>
    </row>
    <row r="16" ht="19.5" customHeight="1" s="33">
      <c r="B16" s="46" t="inlineStr">
        <is>
          <t>D</t>
        </is>
      </c>
      <c r="C16" s="47" t="inlineStr">
        <is>
          <t>Department</t>
        </is>
      </c>
      <c r="D16" s="46" t="inlineStr">
        <is>
          <t>Department or team</t>
        </is>
      </c>
    </row>
    <row r="17" ht="19.5" customHeight="1" s="33">
      <c r="B17" s="44" t="inlineStr">
        <is>
          <t>E</t>
        </is>
      </c>
      <c r="C17" s="45" t="inlineStr">
        <is>
          <t>Activity Title</t>
        </is>
      </c>
      <c r="D17" s="44" t="inlineStr">
        <is>
          <t>Name of the awareness activity or course</t>
        </is>
      </c>
    </row>
    <row r="18" ht="19.5" customHeight="1" s="33">
      <c r="B18" s="46" t="inlineStr">
        <is>
          <t>F</t>
        </is>
      </c>
      <c r="C18" s="47" t="inlineStr">
        <is>
          <t>Activity Type</t>
        </is>
      </c>
      <c r="D18" s="46" t="inlineStr">
        <is>
          <t>Select from dropdown: Toolbox Talk / Internal Briefing / Online Module / External Course / Other</t>
        </is>
      </c>
    </row>
    <row r="19" ht="19.5" customHeight="1" s="33">
      <c r="B19" s="44" t="inlineStr">
        <is>
          <t>G</t>
        </is>
      </c>
      <c r="C19" s="45" t="inlineStr">
        <is>
          <t>Delivery Method</t>
        </is>
      </c>
      <c r="D19" s="44" t="inlineStr">
        <is>
          <t>Face to Face / Remote / Self-Directed</t>
        </is>
      </c>
    </row>
    <row r="20" ht="19.5" customHeight="1" s="33">
      <c r="B20" s="46" t="inlineStr">
        <is>
          <t>H</t>
        </is>
      </c>
      <c r="C20" s="47" t="inlineStr">
        <is>
          <t>Date Completed</t>
        </is>
      </c>
      <c r="D20" s="46" t="inlineStr">
        <is>
          <t>Date the activity was completed (DD/MM/YYYY)</t>
        </is>
      </c>
    </row>
    <row r="21" ht="19.5" customHeight="1" s="33">
      <c r="B21" s="44" t="inlineStr">
        <is>
          <t>I</t>
        </is>
      </c>
      <c r="C21" s="45" t="inlineStr">
        <is>
          <t>Facilitator / Provider</t>
        </is>
      </c>
      <c r="D21" s="44" t="inlineStr">
        <is>
          <t>Name of the person who delivered it, or the external provider</t>
        </is>
      </c>
    </row>
    <row r="22" ht="19.5" customHeight="1" s="33">
      <c r="B22" s="46" t="inlineStr">
        <is>
          <t>J</t>
        </is>
      </c>
      <c r="C22" s="47" t="inlineStr">
        <is>
          <t>Refresh Due</t>
        </is>
      </c>
      <c r="D22" s="46" t="inlineStr">
        <is>
          <t>Auto-calculated as 2 years from completion date</t>
        </is>
      </c>
    </row>
    <row r="23" ht="19.5" customHeight="1" s="33">
      <c r="B23" s="44" t="inlineStr">
        <is>
          <t>K</t>
        </is>
      </c>
      <c r="C23" s="45" t="inlineStr">
        <is>
          <t>RAG Status</t>
        </is>
      </c>
      <c r="D23" s="44" t="inlineStr">
        <is>
          <t>Auto-calculated from today's date vs refresh due date</t>
        </is>
      </c>
    </row>
    <row r="24" ht="19.5" customHeight="1" s="33">
      <c r="B24" s="46" t="inlineStr">
        <is>
          <t>L</t>
        </is>
      </c>
      <c r="C24" s="47" t="inlineStr">
        <is>
          <t>Evidence Reference</t>
        </is>
      </c>
      <c r="D24" s="46" t="inlineStr">
        <is>
          <t>Reference number or location of any certificate or sign-off sheet</t>
        </is>
      </c>
    </row>
    <row r="25" ht="19.5" customHeight="1" s="33">
      <c r="B25" s="44" t="inlineStr">
        <is>
          <t>M</t>
        </is>
      </c>
      <c r="C25" s="45" t="inlineStr">
        <is>
          <t>Notes</t>
        </is>
      </c>
      <c r="D25" s="44" t="inlineStr">
        <is>
          <t>Any additional notes</t>
        </is>
      </c>
    </row>
  </sheetData>
  <mergeCells count="8">
    <mergeCell ref="B2:G2"/>
    <mergeCell ref="C7:G7"/>
    <mergeCell ref="C4:G4"/>
    <mergeCell ref="C6:G6"/>
    <mergeCell ref="C5:G5"/>
    <mergeCell ref="C8:G8"/>
    <mergeCell ref="C9:G9"/>
    <mergeCell ref="B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N5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2" min="1" max="1"/>
    <col width="4" customWidth="1" style="32" min="2" max="2"/>
    <col width="22" customWidth="1" style="32" min="3" max="4"/>
    <col width="20" customWidth="1" style="32" min="5" max="5"/>
    <col width="30" customWidth="1" style="32" min="6" max="6"/>
    <col width="22" customWidth="1" style="32" min="7" max="8"/>
    <col width="16" customWidth="1" style="32" min="9" max="9"/>
    <col width="26" customWidth="1" style="32" min="10" max="10"/>
    <col width="16" customWidth="1" style="32" min="11" max="11"/>
    <col width="14" customWidth="1" style="32" min="12" max="12"/>
    <col width="22" customWidth="1" style="32" min="13" max="13"/>
    <col width="30" customWidth="1" style="32" min="14" max="14"/>
  </cols>
  <sheetData>
    <row r="1" ht="50" customHeight="1" s="33">
      <c r="B1" s="48" t="inlineStr">
        <is>
          <t>NSS-01c  |  NUCLEAR SECTOR AWARENESS REGISTER</t>
        </is>
      </c>
      <c r="C1" s="36" t="n"/>
      <c r="D1" s="36" t="n"/>
      <c r="E1" s="36" t="n"/>
      <c r="F1" s="36" t="n"/>
      <c r="G1" s="36" t="n"/>
      <c r="H1" s="36" t="n"/>
      <c r="I1" s="36" t="n"/>
      <c r="J1" s="36" t="n"/>
      <c r="K1" s="36" t="n"/>
      <c r="L1" s="36" t="n"/>
      <c r="M1" s="36" t="n"/>
      <c r="N1" s="36" t="n"/>
    </row>
    <row r="2" ht="21.75" customHeight="1" s="33">
      <c r="B2" s="49" t="inlineStr">
        <is>
          <t>Company:</t>
        </is>
      </c>
      <c r="C2" s="50" t="n"/>
      <c r="D2" s="50" t="n"/>
      <c r="E2" s="50" t="n"/>
      <c r="F2" s="49" t="inlineStr">
        <is>
          <t>Review Date:</t>
        </is>
      </c>
      <c r="G2" s="50" t="n"/>
      <c r="H2" s="50" t="n"/>
      <c r="I2" s="49" t="inlineStr">
        <is>
          <t>Version: 1.0</t>
        </is>
      </c>
      <c r="J2" s="50" t="n"/>
      <c r="K2" s="50" t="n"/>
      <c r="L2" s="49" t="inlineStr">
        <is>
          <t>Owner:</t>
        </is>
      </c>
      <c r="M2" s="50" t="n"/>
      <c r="N2" s="50" t="n"/>
    </row>
    <row r="3" ht="30" customHeight="1" s="33">
      <c r="B3" s="51" t="inlineStr">
        <is>
          <t>Ref</t>
        </is>
      </c>
      <c r="C3" s="51" t="inlineStr">
        <is>
          <t>Full Name</t>
        </is>
      </c>
      <c r="D3" s="51" t="inlineStr">
        <is>
          <t>Job Title</t>
        </is>
      </c>
      <c r="E3" s="51" t="inlineStr">
        <is>
          <t>Department</t>
        </is>
      </c>
      <c r="F3" s="51" t="inlineStr">
        <is>
          <t>Activity Title</t>
        </is>
      </c>
      <c r="G3" s="51" t="inlineStr">
        <is>
          <t>Activity Type</t>
        </is>
      </c>
      <c r="H3" s="51" t="inlineStr">
        <is>
          <t>Delivery Method</t>
        </is>
      </c>
      <c r="I3" s="51" t="inlineStr">
        <is>
          <t>Date Completed</t>
        </is>
      </c>
      <c r="J3" s="51" t="inlineStr">
        <is>
          <t>Facilitator / Provider</t>
        </is>
      </c>
      <c r="K3" s="51" t="inlineStr">
        <is>
          <t>Refresh Due</t>
        </is>
      </c>
      <c r="L3" s="51" t="inlineStr">
        <is>
          <t>RAG Status</t>
        </is>
      </c>
      <c r="M3" s="51" t="inlineStr">
        <is>
          <t>Evidence Reference</t>
        </is>
      </c>
      <c r="N3" s="51" t="inlineStr">
        <is>
          <t>Notes</t>
        </is>
      </c>
    </row>
    <row r="4" ht="57" customHeight="1" s="33">
      <c r="B4" s="46" t="inlineStr">
        <is>
          <t>NSS-AWR-001</t>
        </is>
      </c>
      <c r="C4" s="46" t="inlineStr">
        <is>
          <t>John Smith</t>
        </is>
      </c>
      <c r="D4" s="46" t="inlineStr">
        <is>
          <t>Production Manager</t>
        </is>
      </c>
      <c r="E4" s="46" t="inlineStr">
        <is>
          <t>Operations</t>
        </is>
      </c>
      <c r="F4" s="46" t="inlineStr">
        <is>
          <t>Nuclear Sector Awareness</t>
        </is>
      </c>
      <c r="G4" s="46" t="inlineStr">
        <is>
          <t>Toolbox Talk</t>
        </is>
      </c>
      <c r="H4" s="46" t="inlineStr">
        <is>
          <t>Face to Face</t>
        </is>
      </c>
      <c r="I4" s="52" t="n">
        <v>45672</v>
      </c>
      <c r="J4" s="46" t="inlineStr">
        <is>
          <t>NSS Training Lead</t>
        </is>
      </c>
      <c r="K4" s="52">
        <f>IF(I4="","",DATE(YEAR(I4)+2,MONTH(I4),DAY(I4)))</f>
        <v/>
      </c>
      <c r="L4" s="46">
        <f>IF(K4="","Not Trained",IF(TODAY()&gt;K4,"OVERDUE",IF(K4-TODAY()&lt;91,"DUE SOON","CURRENT")))</f>
        <v/>
      </c>
      <c r="M4" s="46" t="n"/>
      <c r="N4" s="46" t="n"/>
    </row>
    <row r="5" ht="57" customHeight="1" s="33">
      <c r="B5" s="44" t="inlineStr">
        <is>
          <t>NSS-AWR-002</t>
        </is>
      </c>
      <c r="C5" s="44" t="inlineStr">
        <is>
          <t>Sarah Jones</t>
        </is>
      </c>
      <c r="D5" s="44" t="inlineStr">
        <is>
          <t>Quality Engineer</t>
        </is>
      </c>
      <c r="E5" s="44" t="inlineStr">
        <is>
          <t>Quality</t>
        </is>
      </c>
      <c r="F5" s="44" t="inlineStr">
        <is>
          <t>Nuclear Sector Awareness</t>
        </is>
      </c>
      <c r="G5" s="44" t="inlineStr">
        <is>
          <t>Internal Briefing</t>
        </is>
      </c>
      <c r="H5" s="44" t="inlineStr">
        <is>
          <t>Face to Face</t>
        </is>
      </c>
      <c r="I5" s="53" t="n">
        <v>45672</v>
      </c>
      <c r="J5" s="44" t="inlineStr">
        <is>
          <t>NSS Training Lead</t>
        </is>
      </c>
      <c r="K5" s="53">
        <f>IF(I5="","",DATE(YEAR(I5)+2,MONTH(I5),DAY(I5)))</f>
        <v/>
      </c>
      <c r="L5" s="44">
        <f>IF(K5="","Not Trained",IF(TODAY()&gt;K5,"OVERDUE",IF(K5-TODAY()&lt;91,"DUE SOON","CURRENT")))</f>
        <v/>
      </c>
      <c r="M5" s="44" t="n"/>
      <c r="N5" s="44" t="n"/>
    </row>
    <row r="6" ht="57" customHeight="1" s="33">
      <c r="B6" s="46" t="inlineStr">
        <is>
          <t>NSS-AWR-003</t>
        </is>
      </c>
      <c r="C6" s="46" t="inlineStr">
        <is>
          <t>Mike Taylor</t>
        </is>
      </c>
      <c r="D6" s="46" t="inlineStr">
        <is>
          <t>Buyer</t>
        </is>
      </c>
      <c r="E6" s="46" t="inlineStr">
        <is>
          <t>Supply Chain</t>
        </is>
      </c>
      <c r="F6" s="46" t="inlineStr">
        <is>
          <t>Nuclear Sector Awareness</t>
        </is>
      </c>
      <c r="G6" s="46" t="inlineStr">
        <is>
          <t>Online Module</t>
        </is>
      </c>
      <c r="H6" s="46" t="inlineStr">
        <is>
          <t>Self-Directed</t>
        </is>
      </c>
      <c r="I6" s="52" t="n">
        <v>45708</v>
      </c>
      <c r="J6" s="46" t="inlineStr">
        <is>
          <t>NucCol Portal</t>
        </is>
      </c>
      <c r="K6" s="52">
        <f>IF(I6="","",DATE(YEAR(I6)+2,MONTH(I6),DAY(I6)))</f>
        <v/>
      </c>
      <c r="L6" s="46">
        <f>IF(K6="","Not Trained",IF(TODAY()&gt;K6,"OVERDUE",IF(K6-TODAY()&lt;91,"DUE SOON","CURRENT")))</f>
        <v/>
      </c>
      <c r="M6" s="46" t="n"/>
      <c r="N6" s="46" t="n"/>
    </row>
    <row r="7" ht="15" customHeight="1" s="33">
      <c r="B7" s="54">
        <f>IF(C7&lt;&gt;"","NSS-AWR-"&amp;TEXT(ROW()-3,"000"),"")</f>
        <v/>
      </c>
      <c r="C7" s="44" t="n"/>
      <c r="D7" s="44" t="n"/>
      <c r="E7" s="44" t="n"/>
      <c r="F7" s="44" t="n"/>
      <c r="G7" s="44" t="n"/>
      <c r="H7" s="44" t="n"/>
      <c r="I7" s="44" t="n"/>
      <c r="J7" s="44" t="n"/>
      <c r="K7" s="53">
        <f>IF(I7="","",DATE(YEAR(I7)+2,MONTH(I7),DAY(I7)))</f>
        <v/>
      </c>
      <c r="L7" s="44">
        <f>IF(K7="","Not Trained",IF(TODAY()&gt;K7,"OVERDUE",IF(K7-TODAY()&lt;91,"DUE SOON","CURRENT")))</f>
        <v/>
      </c>
      <c r="M7" s="44" t="n"/>
      <c r="N7" s="44" t="n"/>
    </row>
    <row r="8" ht="15" customHeight="1" s="33">
      <c r="B8" s="54">
        <f>IF(C8&lt;&gt;"","NSS-AWR-"&amp;TEXT(ROW()-3,"000"),"")</f>
        <v/>
      </c>
      <c r="C8" s="46" t="n"/>
      <c r="D8" s="46" t="n"/>
      <c r="E8" s="46" t="n"/>
      <c r="F8" s="46" t="n"/>
      <c r="G8" s="46" t="n"/>
      <c r="H8" s="46" t="n"/>
      <c r="I8" s="46" t="n"/>
      <c r="J8" s="46" t="n"/>
      <c r="K8" s="52">
        <f>IF(I8="","",DATE(YEAR(I8)+2,MONTH(I8),DAY(I8)))</f>
        <v/>
      </c>
      <c r="L8" s="46">
        <f>IF(K8="","Not Trained",IF(TODAY()&gt;K8,"OVERDUE",IF(K8-TODAY()&lt;91,"DUE SOON","CURRENT")))</f>
        <v/>
      </c>
      <c r="M8" s="46" t="n"/>
      <c r="N8" s="46" t="n"/>
    </row>
    <row r="9" ht="15" customHeight="1" s="33">
      <c r="B9" s="54">
        <f>IF(C9&lt;&gt;"","NSS-AWR-"&amp;TEXT(ROW()-3,"000"),"")</f>
        <v/>
      </c>
      <c r="C9" s="44" t="n"/>
      <c r="D9" s="44" t="n"/>
      <c r="E9" s="44" t="n"/>
      <c r="F9" s="44" t="n"/>
      <c r="G9" s="44" t="n"/>
      <c r="H9" s="44" t="n"/>
      <c r="I9" s="44" t="n"/>
      <c r="J9" s="44" t="n"/>
      <c r="K9" s="53">
        <f>IF(I9="","",DATE(YEAR(I9)+2,MONTH(I9),DAY(I9)))</f>
        <v/>
      </c>
      <c r="L9" s="44">
        <f>IF(K9="","Not Trained",IF(TODAY()&gt;K9,"OVERDUE",IF(K9-TODAY()&lt;91,"DUE SOON","CURRENT")))</f>
        <v/>
      </c>
      <c r="M9" s="44" t="n"/>
      <c r="N9" s="44" t="n"/>
    </row>
    <row r="10" ht="15" customHeight="1" s="33">
      <c r="B10" s="54">
        <f>IF(C10&lt;&gt;"","NSS-AWR-"&amp;TEXT(ROW()-3,"000"),"")</f>
        <v/>
      </c>
      <c r="C10" s="46" t="n"/>
      <c r="D10" s="46" t="n"/>
      <c r="E10" s="46" t="n"/>
      <c r="F10" s="46" t="n"/>
      <c r="G10" s="46" t="n"/>
      <c r="H10" s="46" t="n"/>
      <c r="I10" s="46" t="n"/>
      <c r="J10" s="46" t="n"/>
      <c r="K10" s="52">
        <f>IF(I10="","",DATE(YEAR(I10)+2,MONTH(I10),DAY(I10)))</f>
        <v/>
      </c>
      <c r="L10" s="46">
        <f>IF(K10="","Not Trained",IF(TODAY()&gt;K10,"OVERDUE",IF(K10-TODAY()&lt;91,"DUE SOON","CURRENT")))</f>
        <v/>
      </c>
      <c r="M10" s="46" t="n"/>
      <c r="N10" s="46" t="n"/>
    </row>
    <row r="11" ht="15" customHeight="1" s="33">
      <c r="B11" s="54">
        <f>IF(C11&lt;&gt;"","NSS-AWR-"&amp;TEXT(ROW()-3,"000"),"")</f>
        <v/>
      </c>
      <c r="C11" s="44" t="n"/>
      <c r="D11" s="44" t="n"/>
      <c r="E11" s="44" t="n"/>
      <c r="F11" s="44" t="n"/>
      <c r="G11" s="44" t="n"/>
      <c r="H11" s="44" t="n"/>
      <c r="I11" s="44" t="n"/>
      <c r="J11" s="44" t="n"/>
      <c r="K11" s="53">
        <f>IF(I11="","",DATE(YEAR(I11)+2,MONTH(I11),DAY(I11)))</f>
        <v/>
      </c>
      <c r="L11" s="44">
        <f>IF(K11="","Not Trained",IF(TODAY()&gt;K11,"OVERDUE",IF(K11-TODAY()&lt;91,"DUE SOON","CURRENT")))</f>
        <v/>
      </c>
      <c r="M11" s="44" t="n"/>
      <c r="N11" s="44" t="n"/>
    </row>
    <row r="12" ht="15" customHeight="1" s="33">
      <c r="B12" s="54">
        <f>IF(C12&lt;&gt;"","NSS-AWR-"&amp;TEXT(ROW()-3,"000"),"")</f>
        <v/>
      </c>
      <c r="C12" s="46" t="n"/>
      <c r="D12" s="46" t="n"/>
      <c r="E12" s="46" t="n"/>
      <c r="F12" s="46" t="n"/>
      <c r="G12" s="46" t="n"/>
      <c r="H12" s="46" t="n"/>
      <c r="I12" s="46" t="n"/>
      <c r="J12" s="46" t="n"/>
      <c r="K12" s="52">
        <f>IF(I12="","",DATE(YEAR(I12)+2,MONTH(I12),DAY(I12)))</f>
        <v/>
      </c>
      <c r="L12" s="46">
        <f>IF(K12="","Not Trained",IF(TODAY()&gt;K12,"OVERDUE",IF(K12-TODAY()&lt;91,"DUE SOON","CURRENT")))</f>
        <v/>
      </c>
      <c r="M12" s="46" t="n"/>
      <c r="N12" s="46" t="n"/>
    </row>
    <row r="13" ht="15" customHeight="1" s="33">
      <c r="B13" s="54">
        <f>IF(C13&lt;&gt;"","NSS-AWR-"&amp;TEXT(ROW()-3,"000"),"")</f>
        <v/>
      </c>
      <c r="C13" s="44" t="n"/>
      <c r="D13" s="44" t="n"/>
      <c r="E13" s="44" t="n"/>
      <c r="F13" s="44" t="n"/>
      <c r="G13" s="44" t="n"/>
      <c r="H13" s="44" t="n"/>
      <c r="I13" s="44" t="n"/>
      <c r="J13" s="44" t="n"/>
      <c r="K13" s="53">
        <f>IF(I13="","",DATE(YEAR(I13)+2,MONTH(I13),DAY(I13)))</f>
        <v/>
      </c>
      <c r="L13" s="44">
        <f>IF(K13="","Not Trained",IF(TODAY()&gt;K13,"OVERDUE",IF(K13-TODAY()&lt;91,"DUE SOON","CURRENT")))</f>
        <v/>
      </c>
      <c r="M13" s="44" t="n"/>
      <c r="N13" s="44" t="n"/>
    </row>
    <row r="14" ht="15" customHeight="1" s="33">
      <c r="B14" s="54">
        <f>IF(C14&lt;&gt;"","NSS-AWR-"&amp;TEXT(ROW()-3,"000"),"")</f>
        <v/>
      </c>
      <c r="C14" s="46" t="n"/>
      <c r="D14" s="46" t="n"/>
      <c r="E14" s="46" t="n"/>
      <c r="F14" s="46" t="n"/>
      <c r="G14" s="46" t="n"/>
      <c r="H14" s="46" t="n"/>
      <c r="I14" s="46" t="n"/>
      <c r="J14" s="46" t="n"/>
      <c r="K14" s="52">
        <f>IF(I14="","",DATE(YEAR(I14)+2,MONTH(I14),DAY(I14)))</f>
        <v/>
      </c>
      <c r="L14" s="46">
        <f>IF(K14="","Not Trained",IF(TODAY()&gt;K14,"OVERDUE",IF(K14-TODAY()&lt;91,"DUE SOON","CURRENT")))</f>
        <v/>
      </c>
      <c r="M14" s="46" t="n"/>
      <c r="N14" s="46" t="n"/>
    </row>
    <row r="15" ht="15" customHeight="1" s="33">
      <c r="B15" s="54">
        <f>IF(C15&lt;&gt;"","NSS-AWR-"&amp;TEXT(ROW()-3,"000"),"")</f>
        <v/>
      </c>
      <c r="C15" s="44" t="n"/>
      <c r="D15" s="44" t="n"/>
      <c r="E15" s="44" t="n"/>
      <c r="F15" s="44" t="n"/>
      <c r="G15" s="44" t="n"/>
      <c r="H15" s="44" t="n"/>
      <c r="I15" s="44" t="n"/>
      <c r="J15" s="44" t="n"/>
      <c r="K15" s="53">
        <f>IF(I15="","",DATE(YEAR(I15)+2,MONTH(I15),DAY(I15)))</f>
        <v/>
      </c>
      <c r="L15" s="44">
        <f>IF(K15="","Not Trained",IF(TODAY()&gt;K15,"OVERDUE",IF(K15-TODAY()&lt;91,"DUE SOON","CURRENT")))</f>
        <v/>
      </c>
      <c r="M15" s="44" t="n"/>
      <c r="N15" s="44" t="n"/>
    </row>
    <row r="16" ht="15" customHeight="1" s="33">
      <c r="B16" s="54">
        <f>IF(C16&lt;&gt;"","NSS-AWR-"&amp;TEXT(ROW()-3,"000"),"")</f>
        <v/>
      </c>
      <c r="C16" s="46" t="n"/>
      <c r="D16" s="46" t="n"/>
      <c r="E16" s="46" t="n"/>
      <c r="F16" s="46" t="n"/>
      <c r="G16" s="46" t="n"/>
      <c r="H16" s="46" t="n"/>
      <c r="I16" s="46" t="n"/>
      <c r="J16" s="46" t="n"/>
      <c r="K16" s="52">
        <f>IF(I16="","",DATE(YEAR(I16)+2,MONTH(I16),DAY(I16)))</f>
        <v/>
      </c>
      <c r="L16" s="46">
        <f>IF(K16="","Not Trained",IF(TODAY()&gt;K16,"OVERDUE",IF(K16-TODAY()&lt;91,"DUE SOON","CURRENT")))</f>
        <v/>
      </c>
      <c r="M16" s="46" t="n"/>
      <c r="N16" s="46" t="n"/>
    </row>
    <row r="17" ht="15" customHeight="1" s="33">
      <c r="B17" s="54">
        <f>IF(C17&lt;&gt;"","NSS-AWR-"&amp;TEXT(ROW()-3,"000"),"")</f>
        <v/>
      </c>
      <c r="C17" s="44" t="n"/>
      <c r="D17" s="44" t="n"/>
      <c r="E17" s="44" t="n"/>
      <c r="F17" s="44" t="n"/>
      <c r="G17" s="44" t="n"/>
      <c r="H17" s="44" t="n"/>
      <c r="I17" s="44" t="n"/>
      <c r="J17" s="44" t="n"/>
      <c r="K17" s="53">
        <f>IF(I17="","",DATE(YEAR(I17)+2,MONTH(I17),DAY(I17)))</f>
        <v/>
      </c>
      <c r="L17" s="44">
        <f>IF(K17="","Not Trained",IF(TODAY()&gt;K17,"OVERDUE",IF(K17-TODAY()&lt;91,"DUE SOON","CURRENT")))</f>
        <v/>
      </c>
      <c r="M17" s="44" t="n"/>
      <c r="N17" s="44" t="n"/>
    </row>
    <row r="18" ht="15" customHeight="1" s="33">
      <c r="B18" s="54">
        <f>IF(C18&lt;&gt;"","NSS-AWR-"&amp;TEXT(ROW()-3,"000"),"")</f>
        <v/>
      </c>
      <c r="C18" s="46" t="n"/>
      <c r="D18" s="46" t="n"/>
      <c r="E18" s="46" t="n"/>
      <c r="F18" s="46" t="n"/>
      <c r="G18" s="46" t="n"/>
      <c r="H18" s="46" t="n"/>
      <c r="I18" s="46" t="n"/>
      <c r="J18" s="46" t="n"/>
      <c r="K18" s="52">
        <f>IF(I18="","",DATE(YEAR(I18)+2,MONTH(I18),DAY(I18)))</f>
        <v/>
      </c>
      <c r="L18" s="46">
        <f>IF(K18="","Not Trained",IF(TODAY()&gt;K18,"OVERDUE",IF(K18-TODAY()&lt;91,"DUE SOON","CURRENT")))</f>
        <v/>
      </c>
      <c r="M18" s="46" t="n"/>
      <c r="N18" s="46" t="n"/>
    </row>
    <row r="19" ht="15" customHeight="1" s="33">
      <c r="B19" s="54">
        <f>IF(C19&lt;&gt;"","NSS-AWR-"&amp;TEXT(ROW()-3,"000"),"")</f>
        <v/>
      </c>
      <c r="C19" s="44" t="n"/>
      <c r="D19" s="44" t="n"/>
      <c r="E19" s="44" t="n"/>
      <c r="F19" s="44" t="n"/>
      <c r="G19" s="44" t="n"/>
      <c r="H19" s="44" t="n"/>
      <c r="I19" s="44" t="n"/>
      <c r="J19" s="44" t="n"/>
      <c r="K19" s="53">
        <f>IF(I19="","",DATE(YEAR(I19)+2,MONTH(I19),DAY(I19)))</f>
        <v/>
      </c>
      <c r="L19" s="44">
        <f>IF(K19="","Not Trained",IF(TODAY()&gt;K19,"OVERDUE",IF(K19-TODAY()&lt;91,"DUE SOON","CURRENT")))</f>
        <v/>
      </c>
      <c r="M19" s="44" t="n"/>
      <c r="N19" s="44" t="n"/>
    </row>
    <row r="20" ht="15" customHeight="1" s="33">
      <c r="B20" s="54">
        <f>IF(C20&lt;&gt;"","NSS-AWR-"&amp;TEXT(ROW()-3,"000"),"")</f>
        <v/>
      </c>
      <c r="C20" s="46" t="n"/>
      <c r="D20" s="46" t="n"/>
      <c r="E20" s="46" t="n"/>
      <c r="F20" s="46" t="n"/>
      <c r="G20" s="46" t="n"/>
      <c r="H20" s="46" t="n"/>
      <c r="I20" s="46" t="n"/>
      <c r="J20" s="46" t="n"/>
      <c r="K20" s="52">
        <f>IF(I20="","",DATE(YEAR(I20)+2,MONTH(I20),DAY(I20)))</f>
        <v/>
      </c>
      <c r="L20" s="46">
        <f>IF(K20="","Not Trained",IF(TODAY()&gt;K20,"OVERDUE",IF(K20-TODAY()&lt;91,"DUE SOON","CURRENT")))</f>
        <v/>
      </c>
      <c r="M20" s="46" t="n"/>
      <c r="N20" s="46" t="n"/>
    </row>
    <row r="21" ht="15" customHeight="1" s="33">
      <c r="B21" s="54">
        <f>IF(C21&lt;&gt;"","NSS-AWR-"&amp;TEXT(ROW()-3,"000"),"")</f>
        <v/>
      </c>
      <c r="C21" s="44" t="n"/>
      <c r="D21" s="44" t="n"/>
      <c r="E21" s="44" t="n"/>
      <c r="F21" s="44" t="n"/>
      <c r="G21" s="44" t="n"/>
      <c r="H21" s="44" t="n"/>
      <c r="I21" s="44" t="n"/>
      <c r="J21" s="44" t="n"/>
      <c r="K21" s="53">
        <f>IF(I21="","",DATE(YEAR(I21)+2,MONTH(I21),DAY(I21)))</f>
        <v/>
      </c>
      <c r="L21" s="44">
        <f>IF(K21="","Not Trained",IF(TODAY()&gt;K21,"OVERDUE",IF(K21-TODAY()&lt;91,"DUE SOON","CURRENT")))</f>
        <v/>
      </c>
      <c r="M21" s="44" t="n"/>
      <c r="N21" s="44" t="n"/>
    </row>
    <row r="22" ht="15" customHeight="1" s="33">
      <c r="B22" s="54">
        <f>IF(C22&lt;&gt;"","NSS-AWR-"&amp;TEXT(ROW()-3,"000"),"")</f>
        <v/>
      </c>
      <c r="C22" s="46" t="n"/>
      <c r="D22" s="46" t="n"/>
      <c r="E22" s="46" t="n"/>
      <c r="F22" s="46" t="n"/>
      <c r="G22" s="46" t="n"/>
      <c r="H22" s="46" t="n"/>
      <c r="I22" s="46" t="n"/>
      <c r="J22" s="46" t="n"/>
      <c r="K22" s="52">
        <f>IF(I22="","",DATE(YEAR(I22)+2,MONTH(I22),DAY(I22)))</f>
        <v/>
      </c>
      <c r="L22" s="46">
        <f>IF(K22="","Not Trained",IF(TODAY()&gt;K22,"OVERDUE",IF(K22-TODAY()&lt;91,"DUE SOON","CURRENT")))</f>
        <v/>
      </c>
      <c r="M22" s="46" t="n"/>
      <c r="N22" s="46" t="n"/>
    </row>
    <row r="23" ht="15" customHeight="1" s="33">
      <c r="B23" s="54">
        <f>IF(C23&lt;&gt;"","NSS-AWR-"&amp;TEXT(ROW()-3,"000"),"")</f>
        <v/>
      </c>
      <c r="C23" s="44" t="n"/>
      <c r="D23" s="44" t="n"/>
      <c r="E23" s="44" t="n"/>
      <c r="F23" s="44" t="n"/>
      <c r="G23" s="44" t="n"/>
      <c r="H23" s="44" t="n"/>
      <c r="I23" s="44" t="n"/>
      <c r="J23" s="44" t="n"/>
      <c r="K23" s="53">
        <f>IF(I23="","",DATE(YEAR(I23)+2,MONTH(I23),DAY(I23)))</f>
        <v/>
      </c>
      <c r="L23" s="44">
        <f>IF(K23="","Not Trained",IF(TODAY()&gt;K23,"OVERDUE",IF(K23-TODAY()&lt;91,"DUE SOON","CURRENT")))</f>
        <v/>
      </c>
      <c r="M23" s="44" t="n"/>
      <c r="N23" s="44" t="n"/>
    </row>
    <row r="24" ht="15" customHeight="1" s="33">
      <c r="B24" s="54">
        <f>IF(C24&lt;&gt;"","NSS-AWR-"&amp;TEXT(ROW()-3,"000"),"")</f>
        <v/>
      </c>
      <c r="C24" s="46" t="n"/>
      <c r="D24" s="46" t="n"/>
      <c r="E24" s="46" t="n"/>
      <c r="F24" s="46" t="n"/>
      <c r="G24" s="46" t="n"/>
      <c r="H24" s="46" t="n"/>
      <c r="I24" s="46" t="n"/>
      <c r="J24" s="46" t="n"/>
      <c r="K24" s="52">
        <f>IF(I24="","",DATE(YEAR(I24)+2,MONTH(I24),DAY(I24)))</f>
        <v/>
      </c>
      <c r="L24" s="46">
        <f>IF(K24="","Not Trained",IF(TODAY()&gt;K24,"OVERDUE",IF(K24-TODAY()&lt;91,"DUE SOON","CURRENT")))</f>
        <v/>
      </c>
      <c r="M24" s="46" t="n"/>
      <c r="N24" s="46" t="n"/>
    </row>
    <row r="25" ht="15" customHeight="1" s="33">
      <c r="B25" s="54">
        <f>IF(C25&lt;&gt;"","NSS-AWR-"&amp;TEXT(ROW()-3,"000"),"")</f>
        <v/>
      </c>
      <c r="C25" s="44" t="n"/>
      <c r="D25" s="44" t="n"/>
      <c r="E25" s="44" t="n"/>
      <c r="F25" s="44" t="n"/>
      <c r="G25" s="44" t="n"/>
      <c r="H25" s="44" t="n"/>
      <c r="I25" s="44" t="n"/>
      <c r="J25" s="44" t="n"/>
      <c r="K25" s="53">
        <f>IF(I25="","",DATE(YEAR(I25)+2,MONTH(I25),DAY(I25)))</f>
        <v/>
      </c>
      <c r="L25" s="44">
        <f>IF(K25="","Not Trained",IF(TODAY()&gt;K25,"OVERDUE",IF(K25-TODAY()&lt;91,"DUE SOON","CURRENT")))</f>
        <v/>
      </c>
      <c r="M25" s="44" t="n"/>
      <c r="N25" s="44" t="n"/>
    </row>
    <row r="26" ht="15" customHeight="1" s="33">
      <c r="B26" s="54">
        <f>IF(C26&lt;&gt;"","NSS-AWR-"&amp;TEXT(ROW()-3,"000"),"")</f>
        <v/>
      </c>
      <c r="C26" s="46" t="n"/>
      <c r="D26" s="46" t="n"/>
      <c r="E26" s="46" t="n"/>
      <c r="F26" s="46" t="n"/>
      <c r="G26" s="46" t="n"/>
      <c r="H26" s="46" t="n"/>
      <c r="I26" s="46" t="n"/>
      <c r="J26" s="46" t="n"/>
      <c r="K26" s="52">
        <f>IF(I26="","",DATE(YEAR(I26)+2,MONTH(I26),DAY(I26)))</f>
        <v/>
      </c>
      <c r="L26" s="46">
        <f>IF(K26="","Not Trained",IF(TODAY()&gt;K26,"OVERDUE",IF(K26-TODAY()&lt;91,"DUE SOON","CURRENT")))</f>
        <v/>
      </c>
      <c r="M26" s="46" t="n"/>
      <c r="N26" s="46" t="n"/>
    </row>
    <row r="27" ht="15" customHeight="1" s="33">
      <c r="B27" s="54">
        <f>IF(C27&lt;&gt;"","NSS-AWR-"&amp;TEXT(ROW()-3,"000"),"")</f>
        <v/>
      </c>
      <c r="C27" s="44" t="n"/>
      <c r="D27" s="44" t="n"/>
      <c r="E27" s="44" t="n"/>
      <c r="F27" s="44" t="n"/>
      <c r="G27" s="44" t="n"/>
      <c r="H27" s="44" t="n"/>
      <c r="I27" s="44" t="n"/>
      <c r="J27" s="44" t="n"/>
      <c r="K27" s="53">
        <f>IF(I27="","",DATE(YEAR(I27)+2,MONTH(I27),DAY(I27)))</f>
        <v/>
      </c>
      <c r="L27" s="44">
        <f>IF(K27="","Not Trained",IF(TODAY()&gt;K27,"OVERDUE",IF(K27-TODAY()&lt;91,"DUE SOON","CURRENT")))</f>
        <v/>
      </c>
      <c r="M27" s="44" t="n"/>
      <c r="N27" s="44" t="n"/>
    </row>
    <row r="28" ht="15" customHeight="1" s="33">
      <c r="B28" s="54">
        <f>IF(C28&lt;&gt;"","NSS-AWR-"&amp;TEXT(ROW()-3,"000"),"")</f>
        <v/>
      </c>
      <c r="C28" s="46" t="n"/>
      <c r="D28" s="46" t="n"/>
      <c r="E28" s="46" t="n"/>
      <c r="F28" s="46" t="n"/>
      <c r="G28" s="46" t="n"/>
      <c r="H28" s="46" t="n"/>
      <c r="I28" s="46" t="n"/>
      <c r="J28" s="46" t="n"/>
      <c r="K28" s="52">
        <f>IF(I28="","",DATE(YEAR(I28)+2,MONTH(I28),DAY(I28)))</f>
        <v/>
      </c>
      <c r="L28" s="46">
        <f>IF(K28="","Not Trained",IF(TODAY()&gt;K28,"OVERDUE",IF(K28-TODAY()&lt;91,"DUE SOON","CURRENT")))</f>
        <v/>
      </c>
      <c r="M28" s="46" t="n"/>
      <c r="N28" s="46" t="n"/>
    </row>
    <row r="29" ht="15" customHeight="1" s="33">
      <c r="B29" s="54">
        <f>IF(C29&lt;&gt;"","NSS-AWR-"&amp;TEXT(ROW()-3,"000"),"")</f>
        <v/>
      </c>
      <c r="C29" s="44" t="n"/>
      <c r="D29" s="44" t="n"/>
      <c r="E29" s="44" t="n"/>
      <c r="F29" s="44" t="n"/>
      <c r="G29" s="44" t="n"/>
      <c r="H29" s="44" t="n"/>
      <c r="I29" s="44" t="n"/>
      <c r="J29" s="44" t="n"/>
      <c r="K29" s="53">
        <f>IF(I29="","",DATE(YEAR(I29)+2,MONTH(I29),DAY(I29)))</f>
        <v/>
      </c>
      <c r="L29" s="44">
        <f>IF(K29="","Not Trained",IF(TODAY()&gt;K29,"OVERDUE",IF(K29-TODAY()&lt;91,"DUE SOON","CURRENT")))</f>
        <v/>
      </c>
      <c r="M29" s="44" t="n"/>
      <c r="N29" s="44" t="n"/>
    </row>
    <row r="30" ht="15" customHeight="1" s="33">
      <c r="B30" s="54">
        <f>IF(C30&lt;&gt;"","NSS-AWR-"&amp;TEXT(ROW()-3,"000"),"")</f>
        <v/>
      </c>
      <c r="C30" s="46" t="n"/>
      <c r="D30" s="46" t="n"/>
      <c r="E30" s="46" t="n"/>
      <c r="F30" s="46" t="n"/>
      <c r="G30" s="46" t="n"/>
      <c r="H30" s="46" t="n"/>
      <c r="I30" s="46" t="n"/>
      <c r="J30" s="46" t="n"/>
      <c r="K30" s="52">
        <f>IF(I30="","",DATE(YEAR(I30)+2,MONTH(I30),DAY(I30)))</f>
        <v/>
      </c>
      <c r="L30" s="46">
        <f>IF(K30="","Not Trained",IF(TODAY()&gt;K30,"OVERDUE",IF(K30-TODAY()&lt;91,"DUE SOON","CURRENT")))</f>
        <v/>
      </c>
      <c r="M30" s="46" t="n"/>
      <c r="N30" s="46" t="n"/>
    </row>
    <row r="31" ht="15" customHeight="1" s="33">
      <c r="B31" s="54">
        <f>IF(C31&lt;&gt;"","NSS-AWR-"&amp;TEXT(ROW()-3,"000"),"")</f>
        <v/>
      </c>
      <c r="C31" s="44" t="n"/>
      <c r="D31" s="44" t="n"/>
      <c r="E31" s="44" t="n"/>
      <c r="F31" s="44" t="n"/>
      <c r="G31" s="44" t="n"/>
      <c r="H31" s="44" t="n"/>
      <c r="I31" s="44" t="n"/>
      <c r="J31" s="44" t="n"/>
      <c r="K31" s="53">
        <f>IF(I31="","",DATE(YEAR(I31)+2,MONTH(I31),DAY(I31)))</f>
        <v/>
      </c>
      <c r="L31" s="44">
        <f>IF(K31="","Not Trained",IF(TODAY()&gt;K31,"OVERDUE",IF(K31-TODAY()&lt;91,"DUE SOON","CURRENT")))</f>
        <v/>
      </c>
      <c r="M31" s="44" t="n"/>
      <c r="N31" s="44" t="n"/>
    </row>
    <row r="32" ht="15" customHeight="1" s="33">
      <c r="B32" s="54">
        <f>IF(C32&lt;&gt;"","NSS-AWR-"&amp;TEXT(ROW()-3,"000"),"")</f>
        <v/>
      </c>
      <c r="C32" s="46" t="n"/>
      <c r="D32" s="46" t="n"/>
      <c r="E32" s="46" t="n"/>
      <c r="F32" s="46" t="n"/>
      <c r="G32" s="46" t="n"/>
      <c r="H32" s="46" t="n"/>
      <c r="I32" s="46" t="n"/>
      <c r="J32" s="46" t="n"/>
      <c r="K32" s="52">
        <f>IF(I32="","",DATE(YEAR(I32)+2,MONTH(I32),DAY(I32)))</f>
        <v/>
      </c>
      <c r="L32" s="46">
        <f>IF(K32="","Not Trained",IF(TODAY()&gt;K32,"OVERDUE",IF(K32-TODAY()&lt;91,"DUE SOON","CURRENT")))</f>
        <v/>
      </c>
      <c r="M32" s="46" t="n"/>
      <c r="N32" s="46" t="n"/>
    </row>
    <row r="33" ht="15" customHeight="1" s="33">
      <c r="B33" s="54">
        <f>IF(C33&lt;&gt;"","NSS-AWR-"&amp;TEXT(ROW()-3,"000"),"")</f>
        <v/>
      </c>
      <c r="C33" s="44" t="n"/>
      <c r="D33" s="44" t="n"/>
      <c r="E33" s="44" t="n"/>
      <c r="F33" s="44" t="n"/>
      <c r="G33" s="44" t="n"/>
      <c r="H33" s="44" t="n"/>
      <c r="I33" s="44" t="n"/>
      <c r="J33" s="44" t="n"/>
      <c r="K33" s="53">
        <f>IF(I33="","",DATE(YEAR(I33)+2,MONTH(I33),DAY(I33)))</f>
        <v/>
      </c>
      <c r="L33" s="44">
        <f>IF(K33="","Not Trained",IF(TODAY()&gt;K33,"OVERDUE",IF(K33-TODAY()&lt;91,"DUE SOON","CURRENT")))</f>
        <v/>
      </c>
      <c r="M33" s="44" t="n"/>
      <c r="N33" s="44" t="n"/>
    </row>
    <row r="34" ht="15" customHeight="1" s="33">
      <c r="B34" s="54">
        <f>IF(C34&lt;&gt;"","NSS-AWR-"&amp;TEXT(ROW()-3,"000"),"")</f>
        <v/>
      </c>
      <c r="C34" s="46" t="n"/>
      <c r="D34" s="46" t="n"/>
      <c r="E34" s="46" t="n"/>
      <c r="F34" s="46" t="n"/>
      <c r="G34" s="46" t="n"/>
      <c r="H34" s="46" t="n"/>
      <c r="I34" s="46" t="n"/>
      <c r="J34" s="46" t="n"/>
      <c r="K34" s="52">
        <f>IF(I34="","",DATE(YEAR(I34)+2,MONTH(I34),DAY(I34)))</f>
        <v/>
      </c>
      <c r="L34" s="46">
        <f>IF(K34="","Not Trained",IF(TODAY()&gt;K34,"OVERDUE",IF(K34-TODAY()&lt;91,"DUE SOON","CURRENT")))</f>
        <v/>
      </c>
      <c r="M34" s="46" t="n"/>
      <c r="N34" s="46" t="n"/>
    </row>
    <row r="35" ht="15" customHeight="1" s="33">
      <c r="B35" s="54">
        <f>IF(C35&lt;&gt;"","NSS-AWR-"&amp;TEXT(ROW()-3,"000"),"")</f>
        <v/>
      </c>
      <c r="C35" s="44" t="n"/>
      <c r="D35" s="44" t="n"/>
      <c r="E35" s="44" t="n"/>
      <c r="F35" s="44" t="n"/>
      <c r="G35" s="44" t="n"/>
      <c r="H35" s="44" t="n"/>
      <c r="I35" s="44" t="n"/>
      <c r="J35" s="44" t="n"/>
      <c r="K35" s="53">
        <f>IF(I35="","",DATE(YEAR(I35)+2,MONTH(I35),DAY(I35)))</f>
        <v/>
      </c>
      <c r="L35" s="44">
        <f>IF(K35="","Not Trained",IF(TODAY()&gt;K35,"OVERDUE",IF(K35-TODAY()&lt;91,"DUE SOON","CURRENT")))</f>
        <v/>
      </c>
      <c r="M35" s="44" t="n"/>
      <c r="N35" s="44" t="n"/>
    </row>
    <row r="36" ht="15" customHeight="1" s="33">
      <c r="B36" s="54">
        <f>IF(C36&lt;&gt;"","NSS-AWR-"&amp;TEXT(ROW()-3,"000"),"")</f>
        <v/>
      </c>
      <c r="C36" s="46" t="n"/>
      <c r="D36" s="46" t="n"/>
      <c r="E36" s="46" t="n"/>
      <c r="F36" s="46" t="n"/>
      <c r="G36" s="46" t="n"/>
      <c r="H36" s="46" t="n"/>
      <c r="I36" s="46" t="n"/>
      <c r="J36" s="46" t="n"/>
      <c r="K36" s="52">
        <f>IF(I36="","",DATE(YEAR(I36)+2,MONTH(I36),DAY(I36)))</f>
        <v/>
      </c>
      <c r="L36" s="46">
        <f>IF(K36="","Not Trained",IF(TODAY()&gt;K36,"OVERDUE",IF(K36-TODAY()&lt;91,"DUE SOON","CURRENT")))</f>
        <v/>
      </c>
      <c r="M36" s="46" t="n"/>
      <c r="N36" s="46" t="n"/>
    </row>
    <row r="37" ht="15" customHeight="1" s="33">
      <c r="B37" s="54">
        <f>IF(C37&lt;&gt;"","NSS-AWR-"&amp;TEXT(ROW()-3,"000"),"")</f>
        <v/>
      </c>
      <c r="C37" s="44" t="n"/>
      <c r="D37" s="44" t="n"/>
      <c r="E37" s="44" t="n"/>
      <c r="F37" s="44" t="n"/>
      <c r="G37" s="44" t="n"/>
      <c r="H37" s="44" t="n"/>
      <c r="I37" s="44" t="n"/>
      <c r="J37" s="44" t="n"/>
      <c r="K37" s="53">
        <f>IF(I37="","",DATE(YEAR(I37)+2,MONTH(I37),DAY(I37)))</f>
        <v/>
      </c>
      <c r="L37" s="44">
        <f>IF(K37="","Not Trained",IF(TODAY()&gt;K37,"OVERDUE",IF(K37-TODAY()&lt;91,"DUE SOON","CURRENT")))</f>
        <v/>
      </c>
      <c r="M37" s="44" t="n"/>
      <c r="N37" s="44" t="n"/>
    </row>
    <row r="38" ht="15" customHeight="1" s="33">
      <c r="B38" s="54">
        <f>IF(C38&lt;&gt;"","NSS-AWR-"&amp;TEXT(ROW()-3,"000"),"")</f>
        <v/>
      </c>
      <c r="C38" s="46" t="n"/>
      <c r="D38" s="46" t="n"/>
      <c r="E38" s="46" t="n"/>
      <c r="F38" s="46" t="n"/>
      <c r="G38" s="46" t="n"/>
      <c r="H38" s="46" t="n"/>
      <c r="I38" s="46" t="n"/>
      <c r="J38" s="46" t="n"/>
      <c r="K38" s="52">
        <f>IF(I38="","",DATE(YEAR(I38)+2,MONTH(I38),DAY(I38)))</f>
        <v/>
      </c>
      <c r="L38" s="46">
        <f>IF(K38="","Not Trained",IF(TODAY()&gt;K38,"OVERDUE",IF(K38-TODAY()&lt;91,"DUE SOON","CURRENT")))</f>
        <v/>
      </c>
      <c r="M38" s="46" t="n"/>
      <c r="N38" s="46" t="n"/>
    </row>
    <row r="39" ht="15" customHeight="1" s="33">
      <c r="B39" s="54">
        <f>IF(C39&lt;&gt;"","NSS-AWR-"&amp;TEXT(ROW()-3,"000"),"")</f>
        <v/>
      </c>
      <c r="C39" s="44" t="n"/>
      <c r="D39" s="44" t="n"/>
      <c r="E39" s="44" t="n"/>
      <c r="F39" s="44" t="n"/>
      <c r="G39" s="44" t="n"/>
      <c r="H39" s="44" t="n"/>
      <c r="I39" s="44" t="n"/>
      <c r="J39" s="44" t="n"/>
      <c r="K39" s="53">
        <f>IF(I39="","",DATE(YEAR(I39)+2,MONTH(I39),DAY(I39)))</f>
        <v/>
      </c>
      <c r="L39" s="44">
        <f>IF(K39="","Not Trained",IF(TODAY()&gt;K39,"OVERDUE",IF(K39-TODAY()&lt;91,"DUE SOON","CURRENT")))</f>
        <v/>
      </c>
      <c r="M39" s="44" t="n"/>
      <c r="N39" s="44" t="n"/>
    </row>
    <row r="40" ht="15" customHeight="1" s="33">
      <c r="B40" s="54">
        <f>IF(C40&lt;&gt;"","NSS-AWR-"&amp;TEXT(ROW()-3,"000"),"")</f>
        <v/>
      </c>
      <c r="C40" s="46" t="n"/>
      <c r="D40" s="46" t="n"/>
      <c r="E40" s="46" t="n"/>
      <c r="F40" s="46" t="n"/>
      <c r="G40" s="46" t="n"/>
      <c r="H40" s="46" t="n"/>
      <c r="I40" s="46" t="n"/>
      <c r="J40" s="46" t="n"/>
      <c r="K40" s="52">
        <f>IF(I40="","",DATE(YEAR(I40)+2,MONTH(I40),DAY(I40)))</f>
        <v/>
      </c>
      <c r="L40" s="46">
        <f>IF(K40="","Not Trained",IF(TODAY()&gt;K40,"OVERDUE",IF(K40-TODAY()&lt;91,"DUE SOON","CURRENT")))</f>
        <v/>
      </c>
      <c r="M40" s="46" t="n"/>
      <c r="N40" s="46" t="n"/>
    </row>
    <row r="41" ht="15" customHeight="1" s="33">
      <c r="B41" s="54">
        <f>IF(C41&lt;&gt;"","NSS-AWR-"&amp;TEXT(ROW()-3,"000"),"")</f>
        <v/>
      </c>
      <c r="C41" s="44" t="n"/>
      <c r="D41" s="44" t="n"/>
      <c r="E41" s="44" t="n"/>
      <c r="F41" s="44" t="n"/>
      <c r="G41" s="44" t="n"/>
      <c r="H41" s="44" t="n"/>
      <c r="I41" s="44" t="n"/>
      <c r="J41" s="44" t="n"/>
      <c r="K41" s="53">
        <f>IF(I41="","",DATE(YEAR(I41)+2,MONTH(I41),DAY(I41)))</f>
        <v/>
      </c>
      <c r="L41" s="44">
        <f>IF(K41="","Not Trained",IF(TODAY()&gt;K41,"OVERDUE",IF(K41-TODAY()&lt;91,"DUE SOON","CURRENT")))</f>
        <v/>
      </c>
      <c r="M41" s="44" t="n"/>
      <c r="N41" s="44" t="n"/>
    </row>
    <row r="42" ht="15" customHeight="1" s="33">
      <c r="B42" s="54">
        <f>IF(C42&lt;&gt;"","NSS-AWR-"&amp;TEXT(ROW()-3,"000"),"")</f>
        <v/>
      </c>
      <c r="C42" s="46" t="n"/>
      <c r="D42" s="46" t="n"/>
      <c r="E42" s="46" t="n"/>
      <c r="F42" s="46" t="n"/>
      <c r="G42" s="46" t="n"/>
      <c r="H42" s="46" t="n"/>
      <c r="I42" s="46" t="n"/>
      <c r="J42" s="46" t="n"/>
      <c r="K42" s="52">
        <f>IF(I42="","",DATE(YEAR(I42)+2,MONTH(I42),DAY(I42)))</f>
        <v/>
      </c>
      <c r="L42" s="46">
        <f>IF(K42="","Not Trained",IF(TODAY()&gt;K42,"OVERDUE",IF(K42-TODAY()&lt;91,"DUE SOON","CURRENT")))</f>
        <v/>
      </c>
      <c r="M42" s="46" t="n"/>
      <c r="N42" s="46" t="n"/>
    </row>
    <row r="43" ht="15" customHeight="1" s="33">
      <c r="B43" s="54">
        <f>IF(C43&lt;&gt;"","NSS-AWR-"&amp;TEXT(ROW()-3,"000"),"")</f>
        <v/>
      </c>
      <c r="C43" s="44" t="n"/>
      <c r="D43" s="44" t="n"/>
      <c r="E43" s="44" t="n"/>
      <c r="F43" s="44" t="n"/>
      <c r="G43" s="44" t="n"/>
      <c r="H43" s="44" t="n"/>
      <c r="I43" s="44" t="n"/>
      <c r="J43" s="44" t="n"/>
      <c r="K43" s="53">
        <f>IF(I43="","",DATE(YEAR(I43)+2,MONTH(I43),DAY(I43)))</f>
        <v/>
      </c>
      <c r="L43" s="44">
        <f>IF(K43="","Not Trained",IF(TODAY()&gt;K43,"OVERDUE",IF(K43-TODAY()&lt;91,"DUE SOON","CURRENT")))</f>
        <v/>
      </c>
      <c r="M43" s="44" t="n"/>
      <c r="N43" s="44" t="n"/>
    </row>
    <row r="44" ht="15" customHeight="1" s="33">
      <c r="B44" s="54">
        <f>IF(C44&lt;&gt;"","NSS-AWR-"&amp;TEXT(ROW()-3,"000"),"")</f>
        <v/>
      </c>
      <c r="C44" s="46" t="n"/>
      <c r="D44" s="46" t="n"/>
      <c r="E44" s="46" t="n"/>
      <c r="F44" s="46" t="n"/>
      <c r="G44" s="46" t="n"/>
      <c r="H44" s="46" t="n"/>
      <c r="I44" s="46" t="n"/>
      <c r="J44" s="46" t="n"/>
      <c r="K44" s="52">
        <f>IF(I44="","",DATE(YEAR(I44)+2,MONTH(I44),DAY(I44)))</f>
        <v/>
      </c>
      <c r="L44" s="46">
        <f>IF(K44="","Not Trained",IF(TODAY()&gt;K44,"OVERDUE",IF(K44-TODAY()&lt;91,"DUE SOON","CURRENT")))</f>
        <v/>
      </c>
      <c r="M44" s="46" t="n"/>
      <c r="N44" s="46" t="n"/>
    </row>
    <row r="45" ht="15" customHeight="1" s="33">
      <c r="B45" s="54">
        <f>IF(C45&lt;&gt;"","NSS-AWR-"&amp;TEXT(ROW()-3,"000"),"")</f>
        <v/>
      </c>
      <c r="C45" s="44" t="n"/>
      <c r="D45" s="44" t="n"/>
      <c r="E45" s="44" t="n"/>
      <c r="F45" s="44" t="n"/>
      <c r="G45" s="44" t="n"/>
      <c r="H45" s="44" t="n"/>
      <c r="I45" s="44" t="n"/>
      <c r="J45" s="44" t="n"/>
      <c r="K45" s="53">
        <f>IF(I45="","",DATE(YEAR(I45)+2,MONTH(I45),DAY(I45)))</f>
        <v/>
      </c>
      <c r="L45" s="44">
        <f>IF(K45="","Not Trained",IF(TODAY()&gt;K45,"OVERDUE",IF(K45-TODAY()&lt;91,"DUE SOON","CURRENT")))</f>
        <v/>
      </c>
      <c r="M45" s="44" t="n"/>
      <c r="N45" s="44" t="n"/>
    </row>
    <row r="46" ht="15" customHeight="1" s="33">
      <c r="B46" s="54">
        <f>IF(C46&lt;&gt;"","NSS-AWR-"&amp;TEXT(ROW()-3,"000"),"")</f>
        <v/>
      </c>
      <c r="C46" s="46" t="n"/>
      <c r="D46" s="46" t="n"/>
      <c r="E46" s="46" t="n"/>
      <c r="F46" s="46" t="n"/>
      <c r="G46" s="46" t="n"/>
      <c r="H46" s="46" t="n"/>
      <c r="I46" s="46" t="n"/>
      <c r="J46" s="46" t="n"/>
      <c r="K46" s="52">
        <f>IF(I46="","",DATE(YEAR(I46)+2,MONTH(I46),DAY(I46)))</f>
        <v/>
      </c>
      <c r="L46" s="46">
        <f>IF(K46="","Not Trained",IF(TODAY()&gt;K46,"OVERDUE",IF(K46-TODAY()&lt;91,"DUE SOON","CURRENT")))</f>
        <v/>
      </c>
      <c r="M46" s="46" t="n"/>
      <c r="N46" s="46" t="n"/>
    </row>
    <row r="47" ht="15" customHeight="1" s="33">
      <c r="B47" s="54">
        <f>IF(C47&lt;&gt;"","NSS-AWR-"&amp;TEXT(ROW()-3,"000"),"")</f>
        <v/>
      </c>
      <c r="C47" s="44" t="n"/>
      <c r="D47" s="44" t="n"/>
      <c r="E47" s="44" t="n"/>
      <c r="F47" s="44" t="n"/>
      <c r="G47" s="44" t="n"/>
      <c r="H47" s="44" t="n"/>
      <c r="I47" s="44" t="n"/>
      <c r="J47" s="44" t="n"/>
      <c r="K47" s="53">
        <f>IF(I47="","",DATE(YEAR(I47)+2,MONTH(I47),DAY(I47)))</f>
        <v/>
      </c>
      <c r="L47" s="44">
        <f>IF(K47="","Not Trained",IF(TODAY()&gt;K47,"OVERDUE",IF(K47-TODAY()&lt;91,"DUE SOON","CURRENT")))</f>
        <v/>
      </c>
      <c r="M47" s="44" t="n"/>
      <c r="N47" s="44" t="n"/>
    </row>
    <row r="48" ht="15" customHeight="1" s="33">
      <c r="B48" s="54">
        <f>IF(C48&lt;&gt;"","NSS-AWR-"&amp;TEXT(ROW()-3,"000"),"")</f>
        <v/>
      </c>
      <c r="C48" s="46" t="n"/>
      <c r="D48" s="46" t="n"/>
      <c r="E48" s="46" t="n"/>
      <c r="F48" s="46" t="n"/>
      <c r="G48" s="46" t="n"/>
      <c r="H48" s="46" t="n"/>
      <c r="I48" s="46" t="n"/>
      <c r="J48" s="46" t="n"/>
      <c r="K48" s="52">
        <f>IF(I48="","",DATE(YEAR(I48)+2,MONTH(I48),DAY(I48)))</f>
        <v/>
      </c>
      <c r="L48" s="46">
        <f>IF(K48="","Not Trained",IF(TODAY()&gt;K48,"OVERDUE",IF(K48-TODAY()&lt;91,"DUE SOON","CURRENT")))</f>
        <v/>
      </c>
      <c r="M48" s="46" t="n"/>
      <c r="N48" s="46" t="n"/>
    </row>
    <row r="49" ht="15" customHeight="1" s="33">
      <c r="B49" s="54">
        <f>IF(C49&lt;&gt;"","NSS-AWR-"&amp;TEXT(ROW()-3,"000"),"")</f>
        <v/>
      </c>
      <c r="C49" s="44" t="n"/>
      <c r="D49" s="44" t="n"/>
      <c r="E49" s="44" t="n"/>
      <c r="F49" s="44" t="n"/>
      <c r="G49" s="44" t="n"/>
      <c r="H49" s="44" t="n"/>
      <c r="I49" s="44" t="n"/>
      <c r="J49" s="44" t="n"/>
      <c r="K49" s="53">
        <f>IF(I49="","",DATE(YEAR(I49)+2,MONTH(I49),DAY(I49)))</f>
        <v/>
      </c>
      <c r="L49" s="44">
        <f>IF(K49="","Not Trained",IF(TODAY()&gt;K49,"OVERDUE",IF(K49-TODAY()&lt;91,"DUE SOON","CURRENT")))</f>
        <v/>
      </c>
      <c r="M49" s="44" t="n"/>
      <c r="N49" s="44" t="n"/>
    </row>
    <row r="50" ht="15" customHeight="1" s="33">
      <c r="B50" s="54">
        <f>IF(C50&lt;&gt;"","NSS-AWR-"&amp;TEXT(ROW()-3,"000"),"")</f>
        <v/>
      </c>
      <c r="C50" s="46" t="n"/>
      <c r="D50" s="46" t="n"/>
      <c r="E50" s="46" t="n"/>
      <c r="F50" s="46" t="n"/>
      <c r="G50" s="46" t="n"/>
      <c r="H50" s="46" t="n"/>
      <c r="I50" s="46" t="n"/>
      <c r="J50" s="46" t="n"/>
      <c r="K50" s="52">
        <f>IF(I50="","",DATE(YEAR(I50)+2,MONTH(I50),DAY(I50)))</f>
        <v/>
      </c>
      <c r="L50" s="46">
        <f>IF(K50="","Not Trained",IF(TODAY()&gt;K50,"OVERDUE",IF(K50-TODAY()&lt;91,"DUE SOON","CURRENT")))</f>
        <v/>
      </c>
      <c r="M50" s="46" t="n"/>
      <c r="N50" s="46" t="n"/>
    </row>
    <row r="51" ht="15" customHeight="1" s="33">
      <c r="B51" s="54">
        <f>IF(C51&lt;&gt;"","NSS-AWR-"&amp;TEXT(ROW()-3,"000"),"")</f>
        <v/>
      </c>
      <c r="C51" s="44" t="n"/>
      <c r="D51" s="44" t="n"/>
      <c r="E51" s="44" t="n"/>
      <c r="F51" s="44" t="n"/>
      <c r="G51" s="44" t="n"/>
      <c r="H51" s="44" t="n"/>
      <c r="I51" s="44" t="n"/>
      <c r="J51" s="44" t="n"/>
      <c r="K51" s="53">
        <f>IF(I51="","",DATE(YEAR(I51)+2,MONTH(I51),DAY(I51)))</f>
        <v/>
      </c>
      <c r="L51" s="44">
        <f>IF(K51="","Not Trained",IF(TODAY()&gt;K51,"OVERDUE",IF(K51-TODAY()&lt;91,"DUE SOON","CURRENT")))</f>
        <v/>
      </c>
      <c r="M51" s="44" t="n"/>
      <c r="N51" s="44" t="n"/>
    </row>
    <row r="52" ht="15" customHeight="1" s="33">
      <c r="B52" s="54">
        <f>IF(C52&lt;&gt;"","NSS-AWR-"&amp;TEXT(ROW()-3,"000"),"")</f>
        <v/>
      </c>
      <c r="C52" s="46" t="n"/>
      <c r="D52" s="46" t="n"/>
      <c r="E52" s="46" t="n"/>
      <c r="F52" s="46" t="n"/>
      <c r="G52" s="46" t="n"/>
      <c r="H52" s="46" t="n"/>
      <c r="I52" s="46" t="n"/>
      <c r="J52" s="46" t="n"/>
      <c r="K52" s="52">
        <f>IF(I52="","",DATE(YEAR(I52)+2,MONTH(I52),DAY(I52)))</f>
        <v/>
      </c>
      <c r="L52" s="46">
        <f>IF(K52="","Not Trained",IF(TODAY()&gt;K52,"OVERDUE",IF(K52-TODAY()&lt;91,"DUE SOON","CURRENT")))</f>
        <v/>
      </c>
      <c r="M52" s="46" t="n"/>
      <c r="N52" s="46" t="n"/>
    </row>
    <row r="53" ht="15" customHeight="1" s="33">
      <c r="B53" s="54">
        <f>IF(C53&lt;&gt;"","NSS-AWR-"&amp;TEXT(ROW()-3,"000"),"")</f>
        <v/>
      </c>
      <c r="C53" s="44" t="n"/>
      <c r="D53" s="44" t="n"/>
      <c r="E53" s="44" t="n"/>
      <c r="F53" s="44" t="n"/>
      <c r="G53" s="44" t="n"/>
      <c r="H53" s="44" t="n"/>
      <c r="I53" s="44" t="n"/>
      <c r="J53" s="44" t="n"/>
      <c r="K53" s="53">
        <f>IF(I53="","",DATE(YEAR(I53)+2,MONTH(I53),DAY(I53)))</f>
        <v/>
      </c>
      <c r="L53" s="44">
        <f>IF(K53="","Not Trained",IF(TODAY()&gt;K53,"OVERDUE",IF(K53-TODAY()&lt;91,"DUE SOON","CURRENT")))</f>
        <v/>
      </c>
      <c r="M53" s="44" t="n"/>
      <c r="N53" s="44" t="n"/>
    </row>
  </sheetData>
  <mergeCells count="5">
    <mergeCell ref="I2:K2"/>
    <mergeCell ref="B1:N1"/>
    <mergeCell ref="F2:H2"/>
    <mergeCell ref="B2:E2"/>
    <mergeCell ref="L2:N2"/>
  </mergeCells>
  <conditionalFormatting sqref="L4:L53">
    <cfRule type="cellIs" rank="0" priority="2" equalAverage="0" operator="equal" aboveAverage="0" dxfId="0" text="" percent="0" bottom="0">
      <formula>"CURRENT"</formula>
    </cfRule>
    <cfRule type="cellIs" rank="0" priority="3" equalAverage="0" operator="equal" aboveAverage="0" dxfId="1" text="" percent="0" bottom="0">
      <formula>"DUE SOON"</formula>
    </cfRule>
    <cfRule type="cellIs" rank="0" priority="4" equalAverage="0" operator="equal" aboveAverage="0" dxfId="2" text="" percent="0" bottom="0">
      <formula>"OVERDUE"</formula>
    </cfRule>
  </conditionalFormatting>
  <dataValidations count="2">
    <dataValidation sqref="G4:G53" showDropDown="0" showInputMessage="0" showErrorMessage="1" allowBlank="1" type="list" errorStyle="stop" operator="between">
      <formula1>"Toolbox Talk,Internal Briefing,Online Module,External Course,Other"</formula1>
      <formula2>0</formula2>
    </dataValidation>
    <dataValidation sqref="H4:H53" showDropDown="0" showInputMessage="0" showErrorMessage="1" allowBlank="1" type="list" errorStyle="stop" operator="between">
      <formula1>"Face to Face,Remote,Self-Directed"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F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2" min="1" max="1"/>
    <col width="35" customWidth="1" style="32" min="2" max="2"/>
    <col width="20" customWidth="1" style="32" min="3" max="6"/>
  </cols>
  <sheetData>
    <row r="1" ht="50" customHeight="1" s="33">
      <c r="B1" s="55" t="inlineStr">
        <is>
          <t>NSS-01c  |  NUCLEAR SECTOR AWARENESS  |  Summary Dashboard</t>
        </is>
      </c>
    </row>
    <row r="3" ht="21.75" customHeight="1" s="33">
      <c r="B3" s="56" t="inlineStr">
        <is>
          <t>Metric</t>
        </is>
      </c>
      <c r="C3" s="56" t="inlineStr">
        <is>
          <t>Count</t>
        </is>
      </c>
      <c r="D3" s="56" t="inlineStr">
        <is>
          <t>% of Logged Records</t>
        </is>
      </c>
    </row>
    <row r="4" ht="19.5" customHeight="1" s="33">
      <c r="B4" s="57" t="inlineStr">
        <is>
          <t>Total Records Logged</t>
        </is>
      </c>
      <c r="C4" s="58">
        <f>COUNTA(Register!C4:C53)</f>
        <v/>
      </c>
      <c r="D4" s="58">
        <f>IF(C4=0,"",100&amp;"%")</f>
        <v/>
      </c>
    </row>
    <row r="5" ht="19.5" customHeight="1" s="33">
      <c r="B5" s="59" t="inlineStr">
        <is>
          <t>Current (Training up to date)</t>
        </is>
      </c>
      <c r="C5" s="60">
        <f>COUNTIF(Register!L4:L53,"CURRENT")</f>
        <v/>
      </c>
      <c r="D5" s="60">
        <f>IF(C4=0,"",TEXT(C5/C4,"0%"))</f>
        <v/>
      </c>
    </row>
    <row r="6" ht="19.5" customHeight="1" s="33">
      <c r="B6" s="57" t="inlineStr">
        <is>
          <t>Due Soon (within 3 months)</t>
        </is>
      </c>
      <c r="C6" s="58">
        <f>COUNTIF(Register!L4:L53,"DUE SOON")</f>
        <v/>
      </c>
      <c r="D6" s="58">
        <f>IF(C4=0,"",TEXT(C6/C4,"0%"))</f>
        <v/>
      </c>
    </row>
    <row r="7" ht="19.5" customHeight="1" s="33">
      <c r="B7" s="59" t="inlineStr">
        <is>
          <t>Overdue</t>
        </is>
      </c>
      <c r="C7" s="60">
        <f>COUNTIF(Register!L4:L53,"OVERDUE")</f>
        <v/>
      </c>
      <c r="D7" s="60">
        <f>IF(C4=0,"",TEXT(C7/C4,"0%"))</f>
        <v/>
      </c>
    </row>
    <row r="8" ht="19.5" customHeight="1" s="33">
      <c r="B8" s="57" t="inlineStr">
        <is>
          <t>Not Yet Trained</t>
        </is>
      </c>
      <c r="C8" s="58">
        <f>COUNTIF(Register!L4:L53,"Not Trained")</f>
        <v/>
      </c>
      <c r="D8" s="58">
        <f>IF(C4=0,"",TEXT(C8/C4,"0%"))</f>
        <v/>
      </c>
    </row>
    <row r="11" ht="25.5" customHeight="1" s="33">
      <c r="B11" s="61" t="inlineStr">
        <is>
          <t>ACTION REQUIRED</t>
        </is>
      </c>
    </row>
    <row r="12" ht="21.75" customHeight="1" s="33">
      <c r="B12" s="62" t="inlineStr">
        <is>
          <t>Individuals with Overdue Training</t>
        </is>
      </c>
      <c r="C12" s="62" t="inlineStr">
        <is>
          <t>Name</t>
        </is>
      </c>
      <c r="D12" s="62" t="inlineStr">
        <is>
          <t>Refresh Due</t>
        </is>
      </c>
      <c r="E12" s="62" t="inlineStr">
        <is>
          <t>Days Overdue</t>
        </is>
      </c>
    </row>
    <row r="13" ht="18" customHeight="1" s="33">
      <c r="B13" s="63">
        <f>IFERROR(INDEX(Register!C$4:C$53,MATCH(SMALL(IF(Register!L$4:L$53="OVERDUE",ROW(Register!L$4:L$53)-3),1),ROW(Register!L$4:L$53)-3,0)),"")</f>
        <v/>
      </c>
      <c r="C13" s="63">
        <f>IFERROR(INDEX(Register!C$4:C$53,MATCH(SMALL(IF(Register!L$4:L$53="OVERDUE",ROW(Register!L$4:L$53)-3),1),ROW(Register!L$4:L$53)-3,0)),"")</f>
        <v/>
      </c>
      <c r="D13" s="64">
        <f>IFERROR(INDEX(Register!K$4:K$53,MATCH(SMALL(IF(Register!L$4:L$53="OVERDUE",ROW(Register!L$4:L$53)-3),1),ROW(Register!L$4:L$53)-3,0)),"")</f>
        <v/>
      </c>
      <c r="E13" s="63">
        <f>IFERROR(IF(D13&lt;&gt;"",TODAY()-D13,""),"")</f>
        <v/>
      </c>
    </row>
    <row r="14" ht="18" customHeight="1" s="33">
      <c r="B14" s="65">
        <f>IFERROR(INDEX(Register!C$4:C$53,MATCH(SMALL(IF(Register!L$4:L$53="OVERDUE",ROW(Register!L$4:L$53)-3),2),ROW(Register!L$4:L$53)-3,0)),"")</f>
        <v/>
      </c>
      <c r="C14" s="65">
        <f>IFERROR(INDEX(Register!C$4:C$53,MATCH(SMALL(IF(Register!L$4:L$53="OVERDUE",ROW(Register!L$4:L$53)-3),2),ROW(Register!L$4:L$53)-3,0)),"")</f>
        <v/>
      </c>
      <c r="D14" s="66">
        <f>IFERROR(INDEX(Register!K$4:K$53,MATCH(SMALL(IF(Register!L$4:L$53="OVERDUE",ROW(Register!L$4:L$53)-3),2),ROW(Register!L$4:L$53)-3,0)),"")</f>
        <v/>
      </c>
      <c r="E14" s="65">
        <f>IFERROR(IF(D14&lt;&gt;"",TODAY()-D14,""),"")</f>
        <v/>
      </c>
    </row>
    <row r="15" ht="18" customHeight="1" s="33">
      <c r="B15" s="63">
        <f>IFERROR(INDEX(Register!C$4:C$53,MATCH(SMALL(IF(Register!L$4:L$53="OVERDUE",ROW(Register!L$4:L$53)-3),3),ROW(Register!L$4:L$53)-3,0)),"")</f>
        <v/>
      </c>
      <c r="C15" s="63">
        <f>IFERROR(INDEX(Register!C$4:C$53,MATCH(SMALL(IF(Register!L$4:L$53="OVERDUE",ROW(Register!L$4:L$53)-3),3),ROW(Register!L$4:L$53)-3,0)),"")</f>
        <v/>
      </c>
      <c r="D15" s="64">
        <f>IFERROR(INDEX(Register!K$4:K$53,MATCH(SMALL(IF(Register!L$4:L$53="OVERDUE",ROW(Register!L$4:L$53)-3),3),ROW(Register!L$4:L$53)-3,0)),"")</f>
        <v/>
      </c>
      <c r="E15" s="63">
        <f>IFERROR(IF(D15&lt;&gt;"",TODAY()-D15,""),"")</f>
        <v/>
      </c>
    </row>
    <row r="16" ht="18" customHeight="1" s="33">
      <c r="B16" s="65">
        <f>IFERROR(INDEX(Register!C$4:C$53,MATCH(SMALL(IF(Register!L$4:L$53="OVERDUE",ROW(Register!L$4:L$53)-3),4),ROW(Register!L$4:L$53)-3,0)),"")</f>
        <v/>
      </c>
      <c r="C16" s="65">
        <f>IFERROR(INDEX(Register!C$4:C$53,MATCH(SMALL(IF(Register!L$4:L$53="OVERDUE",ROW(Register!L$4:L$53)-3),4),ROW(Register!L$4:L$53)-3,0)),"")</f>
        <v/>
      </c>
      <c r="D16" s="66">
        <f>IFERROR(INDEX(Register!K$4:K$53,MATCH(SMALL(IF(Register!L$4:L$53="OVERDUE",ROW(Register!L$4:L$53)-3),4),ROW(Register!L$4:L$53)-3,0)),"")</f>
        <v/>
      </c>
      <c r="E16" s="65">
        <f>IFERROR(IF(D16&lt;&gt;"",TODAY()-D16,""),"")</f>
        <v/>
      </c>
    </row>
    <row r="17" ht="18" customHeight="1" s="33">
      <c r="B17" s="63">
        <f>IFERROR(INDEX(Register!C$4:C$53,MATCH(SMALL(IF(Register!L$4:L$53="OVERDUE",ROW(Register!L$4:L$53)-3),5),ROW(Register!L$4:L$53)-3,0)),"")</f>
        <v/>
      </c>
      <c r="C17" s="63">
        <f>IFERROR(INDEX(Register!C$4:C$53,MATCH(SMALL(IF(Register!L$4:L$53="OVERDUE",ROW(Register!L$4:L$53)-3),5),ROW(Register!L$4:L$53)-3,0)),"")</f>
        <v/>
      </c>
      <c r="D17" s="64">
        <f>IFERROR(INDEX(Register!K$4:K$53,MATCH(SMALL(IF(Register!L$4:L$53="OVERDUE",ROW(Register!L$4:L$53)-3),5),ROW(Register!L$4:L$53)-3,0)),"")</f>
        <v/>
      </c>
      <c r="E17" s="63">
        <f>IFERROR(IF(D17&lt;&gt;"",TODAY()-D17,""),"")</f>
        <v/>
      </c>
    </row>
    <row r="18" ht="18" customHeight="1" s="33">
      <c r="B18" s="65">
        <f>IFERROR(INDEX(Register!C$4:C$53,MATCH(SMALL(IF(Register!L$4:L$53="OVERDUE",ROW(Register!L$4:L$53)-3),6),ROW(Register!L$4:L$53)-3,0)),"")</f>
        <v/>
      </c>
      <c r="C18" s="65">
        <f>IFERROR(INDEX(Register!C$4:C$53,MATCH(SMALL(IF(Register!L$4:L$53="OVERDUE",ROW(Register!L$4:L$53)-3),6),ROW(Register!L$4:L$53)-3,0)),"")</f>
        <v/>
      </c>
      <c r="D18" s="66">
        <f>IFERROR(INDEX(Register!K$4:K$53,MATCH(SMALL(IF(Register!L$4:L$53="OVERDUE",ROW(Register!L$4:L$53)-3),6),ROW(Register!L$4:L$53)-3,0)),"")</f>
        <v/>
      </c>
      <c r="E18" s="65">
        <f>IFERROR(IF(D18&lt;&gt;"",TODAY()-D18,""),"")</f>
        <v/>
      </c>
    </row>
    <row r="19" ht="18" customHeight="1" s="33">
      <c r="B19" s="63">
        <f>IFERROR(INDEX(Register!C$4:C$53,MATCH(SMALL(IF(Register!L$4:L$53="OVERDUE",ROW(Register!L$4:L$53)-3),7),ROW(Register!L$4:L$53)-3,0)),"")</f>
        <v/>
      </c>
      <c r="C19" s="63">
        <f>IFERROR(INDEX(Register!C$4:C$53,MATCH(SMALL(IF(Register!L$4:L$53="OVERDUE",ROW(Register!L$4:L$53)-3),7),ROW(Register!L$4:L$53)-3,0)),"")</f>
        <v/>
      </c>
      <c r="D19" s="64">
        <f>IFERROR(INDEX(Register!K$4:K$53,MATCH(SMALL(IF(Register!L$4:L$53="OVERDUE",ROW(Register!L$4:L$53)-3),7),ROW(Register!L$4:L$53)-3,0)),"")</f>
        <v/>
      </c>
      <c r="E19" s="63">
        <f>IFERROR(IF(D19&lt;&gt;"",TODAY()-D19,""),"")</f>
        <v/>
      </c>
    </row>
    <row r="20" ht="18" customHeight="1" s="33">
      <c r="B20" s="65">
        <f>IFERROR(INDEX(Register!C$4:C$53,MATCH(SMALL(IF(Register!L$4:L$53="OVERDUE",ROW(Register!L$4:L$53)-3),8),ROW(Register!L$4:L$53)-3,0)),"")</f>
        <v/>
      </c>
      <c r="C20" s="65">
        <f>IFERROR(INDEX(Register!C$4:C$53,MATCH(SMALL(IF(Register!L$4:L$53="OVERDUE",ROW(Register!L$4:L$53)-3),8),ROW(Register!L$4:L$53)-3,0)),"")</f>
        <v/>
      </c>
      <c r="D20" s="66">
        <f>IFERROR(INDEX(Register!K$4:K$53,MATCH(SMALL(IF(Register!L$4:L$53="OVERDUE",ROW(Register!L$4:L$53)-3),8),ROW(Register!L$4:L$53)-3,0)),"")</f>
        <v/>
      </c>
      <c r="E20" s="65">
        <f>IFERROR(IF(D20&lt;&gt;"",TODAY()-D20,""),"")</f>
        <v/>
      </c>
    </row>
    <row r="21" ht="18" customHeight="1" s="33">
      <c r="B21" s="63">
        <f>IFERROR(INDEX(Register!C$4:C$53,MATCH(SMALL(IF(Register!L$4:L$53="OVERDUE",ROW(Register!L$4:L$53)-3),9),ROW(Register!L$4:L$53)-3,0)),"")</f>
        <v/>
      </c>
      <c r="C21" s="63">
        <f>IFERROR(INDEX(Register!C$4:C$53,MATCH(SMALL(IF(Register!L$4:L$53="OVERDUE",ROW(Register!L$4:L$53)-3),9),ROW(Register!L$4:L$53)-3,0)),"")</f>
        <v/>
      </c>
      <c r="D21" s="64">
        <f>IFERROR(INDEX(Register!K$4:K$53,MATCH(SMALL(IF(Register!L$4:L$53="OVERDUE",ROW(Register!L$4:L$53)-3),9),ROW(Register!L$4:L$53)-3,0)),"")</f>
        <v/>
      </c>
      <c r="E21" s="63">
        <f>IFERROR(IF(D21&lt;&gt;"",TODAY()-D21,""),"")</f>
        <v/>
      </c>
    </row>
    <row r="22" ht="18" customHeight="1" s="33">
      <c r="B22" s="65">
        <f>IFERROR(INDEX(Register!C$4:C$53,MATCH(SMALL(IF(Register!L$4:L$53="OVERDUE",ROW(Register!L$4:L$53)-3),10),ROW(Register!L$4:L$53)-3,0)),"")</f>
        <v/>
      </c>
      <c r="C22" s="65">
        <f>IFERROR(INDEX(Register!C$4:C$53,MATCH(SMALL(IF(Register!L$4:L$53="OVERDUE",ROW(Register!L$4:L$53)-3),10),ROW(Register!L$4:L$53)-3,0)),"")</f>
        <v/>
      </c>
      <c r="D22" s="66">
        <f>IFERROR(INDEX(Register!K$4:K$53,MATCH(SMALL(IF(Register!L$4:L$53="OVERDUE",ROW(Register!L$4:L$53)-3),10),ROW(Register!L$4:L$53)-3,0)),"")</f>
        <v/>
      </c>
      <c r="E22" s="65">
        <f>IFERROR(IF(D22&lt;&gt;"",TODAY()-D22,""),"")</f>
        <v/>
      </c>
    </row>
    <row r="23" ht="18" customHeight="1" s="33">
      <c r="B23" s="63">
        <f>IFERROR(INDEX(Register!C$4:C$53,MATCH(SMALL(IF(Register!L$4:L$53="OVERDUE",ROW(Register!L$4:L$53)-3),11),ROW(Register!L$4:L$53)-3,0)),"")</f>
        <v/>
      </c>
      <c r="C23" s="63">
        <f>IFERROR(INDEX(Register!C$4:C$53,MATCH(SMALL(IF(Register!L$4:L$53="OVERDUE",ROW(Register!L$4:L$53)-3),11),ROW(Register!L$4:L$53)-3,0)),"")</f>
        <v/>
      </c>
      <c r="D23" s="64">
        <f>IFERROR(INDEX(Register!K$4:K$53,MATCH(SMALL(IF(Register!L$4:L$53="OVERDUE",ROW(Register!L$4:L$53)-3),11),ROW(Register!L$4:L$53)-3,0)),"")</f>
        <v/>
      </c>
      <c r="E23" s="63">
        <f>IFERROR(IF(D23&lt;&gt;"",TODAY()-D23,""),"")</f>
        <v/>
      </c>
    </row>
    <row r="24" ht="18" customHeight="1" s="33">
      <c r="B24" s="65">
        <f>IFERROR(INDEX(Register!C$4:C$53,MATCH(SMALL(IF(Register!L$4:L$53="OVERDUE",ROW(Register!L$4:L$53)-3),12),ROW(Register!L$4:L$53)-3,0)),"")</f>
        <v/>
      </c>
      <c r="C24" s="65">
        <f>IFERROR(INDEX(Register!C$4:C$53,MATCH(SMALL(IF(Register!L$4:L$53="OVERDUE",ROW(Register!L$4:L$53)-3),12),ROW(Register!L$4:L$53)-3,0)),"")</f>
        <v/>
      </c>
      <c r="D24" s="66">
        <f>IFERROR(INDEX(Register!K$4:K$53,MATCH(SMALL(IF(Register!L$4:L$53="OVERDUE",ROW(Register!L$4:L$53)-3),12),ROW(Register!L$4:L$53)-3,0)),"")</f>
        <v/>
      </c>
      <c r="E24" s="65">
        <f>IFERROR(IF(D24&lt;&gt;"",TODAY()-D24,""),"")</f>
        <v/>
      </c>
    </row>
    <row r="25" ht="18" customHeight="1" s="33">
      <c r="B25" s="63">
        <f>IFERROR(INDEX(Register!C$4:C$53,MATCH(SMALL(IF(Register!L$4:L$53="OVERDUE",ROW(Register!L$4:L$53)-3),13),ROW(Register!L$4:L$53)-3,0)),"")</f>
        <v/>
      </c>
      <c r="C25" s="63">
        <f>IFERROR(INDEX(Register!C$4:C$53,MATCH(SMALL(IF(Register!L$4:L$53="OVERDUE",ROW(Register!L$4:L$53)-3),13),ROW(Register!L$4:L$53)-3,0)),"")</f>
        <v/>
      </c>
      <c r="D25" s="64">
        <f>IFERROR(INDEX(Register!K$4:K$53,MATCH(SMALL(IF(Register!L$4:L$53="OVERDUE",ROW(Register!L$4:L$53)-3),13),ROW(Register!L$4:L$53)-3,0)),"")</f>
        <v/>
      </c>
      <c r="E25" s="63">
        <f>IFERROR(IF(D25&lt;&gt;"",TODAY()-D25,""),"")</f>
        <v/>
      </c>
    </row>
    <row r="26" ht="18" customHeight="1" s="33">
      <c r="B26" s="65">
        <f>IFERROR(INDEX(Register!C$4:C$53,MATCH(SMALL(IF(Register!L$4:L$53="OVERDUE",ROW(Register!L$4:L$53)-3),14),ROW(Register!L$4:L$53)-3,0)),"")</f>
        <v/>
      </c>
      <c r="C26" s="65">
        <f>IFERROR(INDEX(Register!C$4:C$53,MATCH(SMALL(IF(Register!L$4:L$53="OVERDUE",ROW(Register!L$4:L$53)-3),14),ROW(Register!L$4:L$53)-3,0)),"")</f>
        <v/>
      </c>
      <c r="D26" s="66">
        <f>IFERROR(INDEX(Register!K$4:K$53,MATCH(SMALL(IF(Register!L$4:L$53="OVERDUE",ROW(Register!L$4:L$53)-3),14),ROW(Register!L$4:L$53)-3,0)),"")</f>
        <v/>
      </c>
      <c r="E26" s="65">
        <f>IFERROR(IF(D26&lt;&gt;"",TODAY()-D26,""),"")</f>
        <v/>
      </c>
    </row>
    <row r="27" ht="18" customHeight="1" s="33">
      <c r="B27" s="63">
        <f>IFERROR(INDEX(Register!C$4:C$53,MATCH(SMALL(IF(Register!L$4:L$53="OVERDUE",ROW(Register!L$4:L$53)-3),15),ROW(Register!L$4:L$53)-3,0)),"")</f>
        <v/>
      </c>
      <c r="C27" s="63">
        <f>IFERROR(INDEX(Register!C$4:C$53,MATCH(SMALL(IF(Register!L$4:L$53="OVERDUE",ROW(Register!L$4:L$53)-3),15),ROW(Register!L$4:L$53)-3,0)),"")</f>
        <v/>
      </c>
      <c r="D27" s="64">
        <f>IFERROR(INDEX(Register!K$4:K$53,MATCH(SMALL(IF(Register!L$4:L$53="OVERDUE",ROW(Register!L$4:L$53)-3),15),ROW(Register!L$4:L$53)-3,0)),"")</f>
        <v/>
      </c>
      <c r="E27" s="63">
        <f>IFERROR(IF(D27&lt;&gt;"",TODAY()-D27,""),"")</f>
        <v/>
      </c>
    </row>
  </sheetData>
  <mergeCells count="2">
    <mergeCell ref="B11:F11"/>
    <mergeCell ref="B1:F1"/>
  </mergeCells>
  <conditionalFormatting sqref="C5">
    <cfRule type="cellIs" rank="0" priority="2" equalAverage="0" operator="greaterThan" aboveAverage="0" dxfId="0" text="" percent="0" bottom="0">
      <formula>0</formula>
    </cfRule>
  </conditionalFormatting>
  <conditionalFormatting sqref="C6">
    <cfRule type="cellIs" rank="0" priority="3" equalAverage="0" operator="greaterThan" aboveAverage="0" dxfId="1" text="" percent="0" bottom="0">
      <formula>0</formula>
    </cfRule>
  </conditionalFormatting>
  <conditionalFormatting sqref="C7">
    <cfRule type="cellIs" rank="0" priority="4" equalAverage="0" operator="greaterThan" aboveAverage="0" dxfId="2"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AA688-F00E-4555-A608-433E5D81B338}"/>
</file>

<file path=customXml/itemProps2.xml><?xml version="1.0" encoding="utf-8"?>
<ds:datastoreItem xmlns:ds="http://schemas.openxmlformats.org/officeDocument/2006/customXml" ds:itemID="{BD4BF8A9-FA18-4C94-B687-302DFB50EB24}"/>
</file>

<file path=customXml/itemProps3.xml><?xml version="1.0" encoding="utf-8"?>
<ds:datastoreItem xmlns:ds="http://schemas.openxmlformats.org/officeDocument/2006/customXml" ds:itemID="{905B274F-9ABE-4EBD-B8C9-6B5EB5E5C27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NSS-01c Nuclear Sector Awareness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