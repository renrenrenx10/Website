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versight Plan" sheetId="2" state="visible" r:id="rId2"/>
    <sheet xmlns:r="http://schemas.openxmlformats.org/officeDocument/2006/relationships" name="Dash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1E3C"/>
      <sz val="11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5B595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B595A"/>
      <sz val="9"/>
    </font>
    <font>
      <name val="Arial"/>
      <charset val="1"/>
      <family val="0"/>
      <color rgb="FF5B595A"/>
      <sz val="11"/>
    </font>
  </fonts>
  <fills count="7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D6EEF8"/>
        <bgColor rgb="FFCCFFFF"/>
      </patternFill>
    </fill>
    <fill>
      <patternFill patternType="solid">
        <fgColor rgb="FF009FE3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9">
    <border>
      <left/>
      <right/>
      <top/>
      <bottom/>
      <diagonal/>
    </border>
    <border>
      <left style="thin">
        <color rgb="FF009FE3"/>
      </left>
      <right style="thin">
        <color rgb="FF009FE3"/>
      </right>
      <top style="thin">
        <color rgb="FF009FE3"/>
      </top>
      <bottom style="thin">
        <color rgb="FF009FE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009FE3"/>
      </left>
      <right/>
      <top style="thin">
        <color rgb="FF009FE3"/>
      </top>
      <bottom style="thin">
        <color rgb="FF009FE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9FE3"/>
      </top>
      <bottom/>
      <diagonal/>
    </border>
    <border>
      <left/>
      <right/>
      <top style="thin">
        <color rgb="FF009FE3"/>
      </top>
      <bottom style="thin">
        <color rgb="FF009F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7" fillId="3" borderId="4" applyAlignment="1" pivotButton="0" quotePrefix="0" xfId="0">
      <alignment horizontal="left" vertical="center"/>
    </xf>
    <xf numFmtId="0" fontId="10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1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3" borderId="3" applyAlignment="1" pivotButton="0" quotePrefix="0" xfId="0">
      <alignment horizontal="left" vertical="center"/>
    </xf>
    <xf numFmtId="0" fontId="0" fillId="0" borderId="8" pivotButton="0" quotePrefix="0" xfId="0"/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7" fillId="3" borderId="4" applyAlignment="1" pivotButton="0" quotePrefix="0" xfId="0">
      <alignment horizontal="left" vertical="center"/>
    </xf>
    <xf numFmtId="0" fontId="10" fillId="3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10" fillId="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Arial"/>
        <charset val="1"/>
        <family val="0"/>
        <color rgb="FF375623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2F2F2"/>
      <rgbColor rgb="FFD6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G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28" customWidth="1" style="14" min="2" max="2"/>
    <col width="78" customWidth="1" style="14" min="3" max="3"/>
  </cols>
  <sheetData>
    <row r="1" ht="50" customHeight="1" s="15"/>
    <row r="2" ht="36" customHeight="1" s="15">
      <c r="B2" s="16" t="inlineStr">
        <is>
          <t>NSS-04e  |  NUCLEAR OVERSIGHT AND ASSURANCE PLAN</t>
        </is>
      </c>
    </row>
    <row r="4" ht="51.75" customHeight="1" s="15">
      <c r="B4" s="17" t="inlineStr">
        <is>
          <t>PURPOSE</t>
        </is>
      </c>
      <c r="C4" s="18" t="inlineStr">
        <is>
          <t>This plan schedules and tracks all planned nuclear oversight activities for the year. Completing the plan demonstrates active governance rather than reactive compliance. Review at each quarterly nuclear management review.</t>
        </is>
      </c>
      <c r="D4" s="19" t="n"/>
      <c r="E4" s="19" t="n"/>
      <c r="F4" s="19" t="n"/>
      <c r="G4" s="19" t="n"/>
    </row>
    <row r="5" ht="51.75" customHeight="1" s="15">
      <c r="B5" s="17" t="inlineStr">
        <is>
          <t>HOW TO USE</t>
        </is>
      </c>
      <c r="C5" s="18" t="inlineStr">
        <is>
          <t>Enter each planned oversight activity on the Activities sheet with its frequency, owner, and planned date. Update the Status column as activities are completed. The Dashboard summarises completion against plan.</t>
        </is>
      </c>
      <c r="D5" s="19" t="n"/>
      <c r="E5" s="19" t="n"/>
      <c r="F5" s="19" t="n"/>
      <c r="G5" s="19" t="n"/>
    </row>
    <row r="6" ht="51.75" customHeight="1" s="15">
      <c r="B6" s="17" t="inlineStr">
        <is>
          <t>FREQUENCY</t>
        </is>
      </c>
      <c r="C6" s="18" t="inlineStr">
        <is>
          <t>Activities should be planned at the start of each year. The Nuclear Governance Framework (NSS-04b) specifies minimum frequencies. Add activities as nuclear contracts are awarded.</t>
        </is>
      </c>
      <c r="D6" s="19" t="n"/>
      <c r="E6" s="19" t="n"/>
      <c r="F6" s="19" t="n"/>
      <c r="G6" s="19" t="n"/>
    </row>
    <row r="7" ht="51.75" customHeight="1" s="15">
      <c r="B7" s="17" t="inlineStr">
        <is>
          <t>OWNERSHIP</t>
        </is>
      </c>
      <c r="C7" s="18" t="inlineStr">
        <is>
          <t>Owned by the Nuclear Quality Lead. Approved by the Nuclear Executive Sponsor. Presented at each quarterly nuclear management review.</t>
        </is>
      </c>
      <c r="D7" s="19" t="n"/>
      <c r="E7" s="19" t="n"/>
      <c r="F7" s="19" t="n"/>
      <c r="G7" s="19" t="n"/>
    </row>
  </sheetData>
  <mergeCells count="5">
    <mergeCell ref="B2:G2"/>
    <mergeCell ref="C7:G7"/>
    <mergeCell ref="C4:G4"/>
    <mergeCell ref="C6:G6"/>
    <mergeCell ref="C5:G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J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8" customWidth="1" style="14" min="2" max="2"/>
    <col width="26" customWidth="1" style="14" min="3" max="3"/>
    <col width="18" customWidth="1" style="14" min="4" max="4"/>
    <col width="14" customWidth="1" style="14" min="5" max="5"/>
    <col width="16" customWidth="1" style="14" min="6" max="6"/>
    <col width="14" customWidth="1" style="14" min="7" max="9"/>
    <col width="16" customWidth="1" style="14" min="10" max="10"/>
  </cols>
  <sheetData>
    <row r="1" ht="50" customHeight="1" s="15">
      <c r="B1" s="16" t="inlineStr">
        <is>
          <t>NSS-04e  |  NUCLEAR OVERSIGHT AND ASSURANCE PLAN</t>
        </is>
      </c>
    </row>
    <row r="2" ht="21.75" customHeight="1" s="15">
      <c r="B2" s="20" t="inlineStr">
        <is>
          <t>Company:</t>
        </is>
      </c>
      <c r="C2" s="21" t="n"/>
      <c r="D2" s="21" t="n"/>
      <c r="E2" s="20" t="inlineStr">
        <is>
          <t>Nuclear Quality Lead:</t>
        </is>
      </c>
      <c r="F2" s="21" t="n"/>
      <c r="G2" s="21" t="n"/>
      <c r="H2" s="20" t="inlineStr">
        <is>
          <t>Year:</t>
        </is>
      </c>
      <c r="I2" s="21" t="n"/>
      <c r="J2" s="22" t="inlineStr">
        <is>
          <t>Approved By:</t>
        </is>
      </c>
    </row>
    <row r="3" ht="31.5" customHeight="1" s="15">
      <c r="B3" s="23" t="inlineStr">
        <is>
          <t>Ref</t>
        </is>
      </c>
      <c r="C3" s="23" t="inlineStr">
        <is>
          <t>Activity</t>
        </is>
      </c>
      <c r="D3" s="23" t="inlineStr">
        <is>
          <t>Activity Type</t>
        </is>
      </c>
      <c r="E3" s="23" t="inlineStr">
        <is>
          <t>Frequency</t>
        </is>
      </c>
      <c r="F3" s="23" t="inlineStr">
        <is>
          <t>Planned Date</t>
        </is>
      </c>
      <c r="G3" s="23" t="inlineStr">
        <is>
          <t>Owner</t>
        </is>
      </c>
      <c r="H3" s="23" t="inlineStr">
        <is>
          <t>Date Completed</t>
        </is>
      </c>
      <c r="I3" s="23" t="inlineStr">
        <is>
          <t>Status</t>
        </is>
      </c>
      <c r="J3" s="23" t="inlineStr">
        <is>
          <t>Notes</t>
        </is>
      </c>
    </row>
    <row r="4" ht="27.75" customHeight="1" s="15">
      <c r="B4" s="24" t="inlineStr">
        <is>
          <t>OVR-01</t>
        </is>
      </c>
      <c r="C4" s="24" t="inlineStr">
        <is>
          <t>Nuclear QMS Internal Audit against ISO 19443 requirements</t>
        </is>
      </c>
      <c r="D4" s="24" t="inlineStr">
        <is>
          <t>Internal Audit</t>
        </is>
      </c>
      <c r="E4" s="24" t="inlineStr">
        <is>
          <t>Annual</t>
        </is>
      </c>
      <c r="F4" s="24" t="n"/>
      <c r="G4" s="24" t="inlineStr">
        <is>
          <t>Nuclear Quality Lead</t>
        </is>
      </c>
      <c r="H4" s="24" t="n"/>
      <c r="I4" s="24" t="n"/>
    </row>
    <row r="5" ht="27.75" customHeight="1" s="15">
      <c r="B5" s="25" t="inlineStr">
        <is>
          <t>OVR-02</t>
        </is>
      </c>
      <c r="C5" s="25" t="inlineStr">
        <is>
          <t>Nuclear Management Review (Q1) - director chaired</t>
        </is>
      </c>
      <c r="D5" s="25" t="inlineStr">
        <is>
          <t>Management Review</t>
        </is>
      </c>
      <c r="E5" s="25" t="inlineStr">
        <is>
          <t>Quarterly</t>
        </is>
      </c>
      <c r="F5" s="25" t="n"/>
      <c r="G5" s="25" t="inlineStr">
        <is>
          <t>Nuclear Executive Sponsor</t>
        </is>
      </c>
      <c r="H5" s="25" t="n"/>
      <c r="I5" s="25" t="n"/>
    </row>
    <row r="6" ht="27.75" customHeight="1" s="15">
      <c r="B6" s="24" t="inlineStr">
        <is>
          <t>OVR-03</t>
        </is>
      </c>
      <c r="C6" s="24" t="inlineStr">
        <is>
          <t>Nuclear Management Review (Q2) - director chaired</t>
        </is>
      </c>
      <c r="D6" s="24" t="inlineStr">
        <is>
          <t>Management Review</t>
        </is>
      </c>
      <c r="E6" s="24" t="inlineStr">
        <is>
          <t>Quarterly</t>
        </is>
      </c>
      <c r="F6" s="24" t="n"/>
      <c r="G6" s="24" t="inlineStr">
        <is>
          <t>Nuclear Executive Sponsor</t>
        </is>
      </c>
      <c r="H6" s="24" t="n"/>
      <c r="I6" s="24" t="n"/>
    </row>
    <row r="7" ht="27.75" customHeight="1" s="15">
      <c r="B7" s="25" t="inlineStr">
        <is>
          <t>OVR-04</t>
        </is>
      </c>
      <c r="C7" s="25" t="inlineStr">
        <is>
          <t>Nuclear Management Review (Q3) - director chaired</t>
        </is>
      </c>
      <c r="D7" s="25" t="inlineStr">
        <is>
          <t>Management Review</t>
        </is>
      </c>
      <c r="E7" s="25" t="inlineStr">
        <is>
          <t>Quarterly</t>
        </is>
      </c>
      <c r="F7" s="25" t="n"/>
      <c r="G7" s="25" t="inlineStr">
        <is>
          <t>Nuclear Executive Sponsor</t>
        </is>
      </c>
      <c r="H7" s="25" t="n"/>
      <c r="I7" s="25" t="n"/>
    </row>
    <row r="8" ht="27.75" customHeight="1" s="15">
      <c r="B8" s="24" t="inlineStr">
        <is>
          <t>OVR-05</t>
        </is>
      </c>
      <c r="C8" s="24" t="inlineStr">
        <is>
          <t>Nuclear Management Review (Q4) - director chaired</t>
        </is>
      </c>
      <c r="D8" s="24" t="inlineStr">
        <is>
          <t>Management Review</t>
        </is>
      </c>
      <c r="E8" s="24" t="inlineStr">
        <is>
          <t>Quarterly</t>
        </is>
      </c>
      <c r="F8" s="24" t="n"/>
      <c r="G8" s="24" t="inlineStr">
        <is>
          <t>Nuclear Executive Sponsor</t>
        </is>
      </c>
      <c r="H8" s="24" t="n"/>
      <c r="I8" s="24" t="n"/>
    </row>
    <row r="9" ht="27.75" customHeight="1" s="15">
      <c r="B9" s="25" t="inlineStr">
        <is>
          <t>OVR-06</t>
        </is>
      </c>
      <c r="C9" s="25" t="inlineStr">
        <is>
          <t>Nuclear Safety Walkdown Q1</t>
        </is>
      </c>
      <c r="D9" s="25" t="inlineStr">
        <is>
          <t>Safety Walkdown</t>
        </is>
      </c>
      <c r="E9" s="25" t="inlineStr">
        <is>
          <t>Quarterly min</t>
        </is>
      </c>
      <c r="F9" s="25" t="n"/>
      <c r="G9" s="25" t="inlineStr">
        <is>
          <t>Nuclear Exec Sponsor / Safety Champion</t>
        </is>
      </c>
      <c r="H9" s="25" t="n"/>
      <c r="I9" s="25" t="n"/>
    </row>
    <row r="10" ht="27.75" customHeight="1" s="15">
      <c r="B10" s="24" t="inlineStr">
        <is>
          <t>OVR-07</t>
        </is>
      </c>
      <c r="C10" s="24" t="inlineStr">
        <is>
          <t>Nuclear Safety Walkdown Q2</t>
        </is>
      </c>
      <c r="D10" s="24" t="inlineStr">
        <is>
          <t>Safety Walkdown</t>
        </is>
      </c>
      <c r="E10" s="24" t="inlineStr">
        <is>
          <t>Quarterly min</t>
        </is>
      </c>
      <c r="F10" s="24" t="n"/>
      <c r="G10" s="24" t="inlineStr">
        <is>
          <t>Nuclear Exec Sponsor / Safety Champion</t>
        </is>
      </c>
      <c r="H10" s="24" t="n"/>
      <c r="I10" s="24" t="n"/>
    </row>
    <row r="11" ht="27.75" customHeight="1" s="15">
      <c r="B11" s="25" t="inlineStr">
        <is>
          <t>OVR-08</t>
        </is>
      </c>
      <c r="C11" s="25" t="inlineStr">
        <is>
          <t>Nuclear Safety Walkdown Q3</t>
        </is>
      </c>
      <c r="D11" s="25" t="inlineStr">
        <is>
          <t>Safety Walkdown</t>
        </is>
      </c>
      <c r="E11" s="25" t="inlineStr">
        <is>
          <t>Quarterly min</t>
        </is>
      </c>
      <c r="F11" s="25" t="n"/>
      <c r="G11" s="25" t="inlineStr">
        <is>
          <t>Nuclear Exec Sponsor / Safety Champion</t>
        </is>
      </c>
      <c r="H11" s="25" t="n"/>
      <c r="I11" s="25" t="n"/>
    </row>
    <row r="12" ht="27.75" customHeight="1" s="15">
      <c r="B12" s="24" t="inlineStr">
        <is>
          <t>OVR-09</t>
        </is>
      </c>
      <c r="C12" s="24" t="inlineStr">
        <is>
          <t>Nuclear Safety Walkdown Q4</t>
        </is>
      </c>
      <c r="D12" s="24" t="inlineStr">
        <is>
          <t>Safety Walkdown</t>
        </is>
      </c>
      <c r="E12" s="24" t="inlineStr">
        <is>
          <t>Quarterly min</t>
        </is>
      </c>
      <c r="F12" s="24" t="n"/>
      <c r="G12" s="24" t="inlineStr">
        <is>
          <t>Nuclear Exec Sponsor / Safety Champion</t>
        </is>
      </c>
      <c r="H12" s="24" t="n"/>
      <c r="I12" s="24" t="n"/>
    </row>
    <row r="13" ht="27.75" customHeight="1" s="15">
      <c r="B13" s="25" t="inlineStr">
        <is>
          <t>OVR-10</t>
        </is>
      </c>
      <c r="C13" s="25" t="inlineStr">
        <is>
          <t>SQEP Currency Review - all nuclear personnel</t>
        </is>
      </c>
      <c r="D13" s="25" t="inlineStr">
        <is>
          <t>SQEP Review</t>
        </is>
      </c>
      <c r="E13" s="25" t="inlineStr">
        <is>
          <t>Annual</t>
        </is>
      </c>
      <c r="F13" s="25" t="n"/>
      <c r="G13" s="25" t="inlineStr">
        <is>
          <t>Nuclear Quality Lead</t>
        </is>
      </c>
      <c r="H13" s="25" t="n"/>
      <c r="I13" s="25" t="n"/>
    </row>
    <row r="14" ht="27.75" customHeight="1" s="15">
      <c r="B14" s="24" t="inlineStr">
        <is>
          <t>OVR-11</t>
        </is>
      </c>
      <c r="C14" s="24" t="inlineStr">
        <is>
          <t>Supplier Nuclear Qualification Review</t>
        </is>
      </c>
      <c r="D14" s="24" t="inlineStr">
        <is>
          <t>Supplier Assurance</t>
        </is>
      </c>
      <c r="E14" s="24" t="inlineStr">
        <is>
          <t>Annual</t>
        </is>
      </c>
      <c r="F14" s="24" t="n"/>
      <c r="G14" s="24" t="inlineStr">
        <is>
          <t>Nuclear Quality Lead</t>
        </is>
      </c>
      <c r="H14" s="24" t="n"/>
      <c r="I14" s="24" t="n"/>
    </row>
    <row r="15" ht="27.75" customHeight="1" s="15">
      <c r="B15" s="25" t="inlineStr">
        <is>
          <t>OVR-12</t>
        </is>
      </c>
      <c r="C15" s="25" t="inlineStr">
        <is>
          <t>CFSI Awareness Refresh Training</t>
        </is>
      </c>
      <c r="D15" s="25" t="inlineStr">
        <is>
          <t>Training</t>
        </is>
      </c>
      <c r="E15" s="25" t="inlineStr">
        <is>
          <t>Annual</t>
        </is>
      </c>
      <c r="F15" s="25" t="n"/>
      <c r="G15" s="25" t="inlineStr">
        <is>
          <t>Nuclear Safety Champion</t>
        </is>
      </c>
      <c r="H15" s="25" t="n"/>
      <c r="I15" s="25" t="n"/>
    </row>
    <row r="16" ht="27.75" customHeight="1" s="15">
      <c r="B16" s="24" t="inlineStr">
        <is>
          <t>OVR-13</t>
        </is>
      </c>
      <c r="C16" s="24" t="inlineStr">
        <is>
          <t>Nuclear Governance Framework Review and Update</t>
        </is>
      </c>
      <c r="D16" s="24" t="inlineStr">
        <is>
          <t>Document Review</t>
        </is>
      </c>
      <c r="E16" s="24" t="inlineStr">
        <is>
          <t>Annual</t>
        </is>
      </c>
      <c r="F16" s="24" t="n"/>
      <c r="G16" s="24" t="inlineStr">
        <is>
          <t>Nuclear Quality Lead</t>
        </is>
      </c>
      <c r="H16" s="24" t="n"/>
      <c r="I16" s="24" t="n"/>
    </row>
    <row r="17" ht="27.75" customHeight="1" s="15">
      <c r="B17" s="25" t="inlineStr">
        <is>
          <t>OVR-14</t>
        </is>
      </c>
      <c r="C17" s="25" t="inlineStr">
        <is>
          <t>ISO 19443 Gap Analysis Update (NSS-03b)</t>
        </is>
      </c>
      <c r="D17" s="25" t="inlineStr">
        <is>
          <t>Self-Assessment</t>
        </is>
      </c>
      <c r="E17" s="25" t="inlineStr">
        <is>
          <t>Annual</t>
        </is>
      </c>
      <c r="F17" s="25" t="n"/>
      <c r="G17" s="25" t="inlineStr">
        <is>
          <t>Nuclear Quality Lead</t>
        </is>
      </c>
      <c r="H17" s="25" t="n"/>
      <c r="I17" s="25" t="n"/>
    </row>
    <row r="18" ht="27.75" customHeight="1" s="15">
      <c r="B18" s="24" t="inlineStr">
        <is>
          <t>OVR-15</t>
        </is>
      </c>
      <c r="C18" s="24" t="inlineStr">
        <is>
          <t>NSS-04f Leadership Governance Self-Assessment</t>
        </is>
      </c>
      <c r="D18" s="24" t="inlineStr">
        <is>
          <t>Self-Assessment</t>
        </is>
      </c>
      <c r="E18" s="24" t="inlineStr">
        <is>
          <t>Annual</t>
        </is>
      </c>
      <c r="F18" s="24" t="n"/>
      <c r="G18" s="24" t="inlineStr">
        <is>
          <t>Nuclear Quality Lead</t>
        </is>
      </c>
      <c r="H18" s="24" t="n"/>
      <c r="I18" s="24" t="n"/>
    </row>
    <row r="19" ht="25.5" customHeight="1" s="15"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25.5" customHeight="1" s="15"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</row>
    <row r="21" ht="25.5" customHeight="1" s="15"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 ht="25.5" customHeight="1" s="15"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</row>
    <row r="23" ht="25.5" customHeight="1" s="15"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</row>
    <row r="24" ht="25.5" customHeight="1" s="15"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</row>
    <row r="25" ht="25.5" customHeight="1" s="15"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</row>
    <row r="26" ht="25.5" customHeight="1" s="15"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</row>
    <row r="27" ht="25.5" customHeight="1" s="15"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</row>
    <row r="28" ht="25.5" customHeight="1" s="15"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</row>
  </sheetData>
  <mergeCells count="4">
    <mergeCell ref="B1:J1"/>
    <mergeCell ref="B2:D2"/>
    <mergeCell ref="E2:G2"/>
    <mergeCell ref="H2:I2"/>
  </mergeCells>
  <conditionalFormatting sqref="I4:I28">
    <cfRule type="cellIs" rank="0" priority="2" equalAverage="0" operator="equal" aboveAverage="0" dxfId="0" text="" percent="0" bottom="0">
      <formula>"Complete"</formula>
    </cfRule>
    <cfRule type="cellIs" rank="0" priority="3" equalAverage="0" operator="equal" aboveAverage="0" dxfId="1" text="" percent="0" bottom="0">
      <formula>"Overdue"</formula>
    </cfRule>
    <cfRule type="cellIs" rank="0" priority="4" equalAverage="0" operator="equal" aboveAverage="0" dxfId="2" text="" percent="0" bottom="0">
      <formula>"Planned"</formula>
    </cfRule>
  </conditionalFormatting>
  <dataValidations count="2">
    <dataValidation sqref="D4:D28" showDropDown="0" showInputMessage="0" showErrorMessage="0" allowBlank="1" type="list" errorStyle="stop" operator="between">
      <formula1>"Internal Audit,Management Review,Safety Walkdown,SQEP Review,Supplier Assurance,Training,Document Review,Self-Assessment,Other"</formula1>
      <formula2>0</formula2>
    </dataValidation>
    <dataValidation sqref="I4:I28" showDropDown="0" showInputMessage="0" showErrorMessage="0" allowBlank="1" type="list" errorStyle="stop" operator="between">
      <formula1>"Planned,In Progress,Complete,Overdue,Cancelled"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1:C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8" customWidth="1" style="14" min="2" max="2"/>
    <col width="18" customWidth="1" style="14" min="3" max="3"/>
  </cols>
  <sheetData>
    <row r="1" ht="50" customHeight="1" s="15">
      <c r="B1" s="16" t="inlineStr">
        <is>
          <t>NSS-04e  |  OVERSIGHT PLAN DASHBOARD</t>
        </is>
      </c>
    </row>
    <row r="3" ht="21.75" customHeight="1" s="15">
      <c r="B3" s="26" t="inlineStr">
        <is>
          <t>Metric</t>
        </is>
      </c>
      <c r="C3" s="26" t="inlineStr">
        <is>
          <t>Value</t>
        </is>
      </c>
    </row>
    <row r="4" ht="21.75" customHeight="1" s="15">
      <c r="B4" s="27" t="inlineStr">
        <is>
          <t>Total Activities Planned</t>
        </is>
      </c>
      <c r="C4" s="28">
        <f>COUNTA('Oversight Plan'!C4:C28)</f>
        <v/>
      </c>
    </row>
    <row r="5" ht="21.75" customHeight="1" s="15">
      <c r="B5" s="29" t="inlineStr">
        <is>
          <t>Complete</t>
        </is>
      </c>
      <c r="C5" s="30">
        <f>COUNTIF('Oversight Plan'!I4:I28,"Complete")</f>
        <v/>
      </c>
    </row>
    <row r="6" ht="21.75" customHeight="1" s="15">
      <c r="B6" s="27" t="inlineStr">
        <is>
          <t>In Progress</t>
        </is>
      </c>
      <c r="C6" s="28">
        <f>COUNTIF('Oversight Plan'!I4:I28,"In Progress")</f>
        <v/>
      </c>
    </row>
    <row r="7" ht="21.75" customHeight="1" s="15">
      <c r="B7" s="29" t="inlineStr">
        <is>
          <t>Overdue</t>
        </is>
      </c>
      <c r="C7" s="30">
        <f>COUNTIF('Oversight Plan'!I4:I28,"Overdue")</f>
        <v/>
      </c>
    </row>
    <row r="8" ht="21.75" customHeight="1" s="15">
      <c r="B8" s="27" t="inlineStr">
        <is>
          <t>Planned (not yet started)</t>
        </is>
      </c>
      <c r="C8" s="28">
        <f>COUNTIF('Oversight Plan'!I4:I28,"Planned")</f>
        <v/>
      </c>
    </row>
    <row r="9" ht="21.75" customHeight="1" s="15">
      <c r="B9" s="29" t="inlineStr">
        <is>
          <t>% Complete</t>
        </is>
      </c>
      <c r="C9" s="30">
        <f>IFERROR(TEXT(COUNTIF('Oversight Plan'!I4:I28,"Complete")/COUNTA('Oversight Plan'!C4:C28),"0%"),"")</f>
        <v/>
      </c>
    </row>
  </sheetData>
  <mergeCells count="1">
    <mergeCell ref="B1:C1"/>
  </mergeCells>
  <conditionalFormatting sqref="C7">
    <cfRule type="cellIs" rank="0" priority="2" equalAverage="0" operator="greaterThan" aboveAverage="0" dxfId="3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94B121-2700-46C3-8F32-C3036CCC393F}"/>
</file>

<file path=customXml/itemProps2.xml><?xml version="1.0" encoding="utf-8"?>
<ds:datastoreItem xmlns:ds="http://schemas.openxmlformats.org/officeDocument/2006/customXml" ds:itemID="{31269EE2-3C82-40ED-A3C4-7A9FE533EDA2}"/>
</file>

<file path=customXml/itemProps3.xml><?xml version="1.0" encoding="utf-8"?>
<ds:datastoreItem xmlns:ds="http://schemas.openxmlformats.org/officeDocument/2006/customXml" ds:itemID="{78962306-B274-474A-83F0-18E13BBB76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NSS-04e Nuclear Oversight Assurance Plan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