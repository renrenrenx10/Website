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Instructions" sheetId="1" state="visible" r:id="rId1"/>
    <sheet xmlns:r="http://schemas.openxmlformats.org/officeDocument/2006/relationships" name="Near Miss and OPEX Log" sheetId="2" state="visible" r:id="rId2"/>
    <sheet xmlns:r="http://schemas.openxmlformats.org/officeDocument/2006/relationships" name="Dashboard" sheetId="3" state="visible" r:id="rId3"/>
  </sheets>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charset val="1"/>
      <b val="1"/>
      <color rgb="FFFFFFFF"/>
      <sz val="14"/>
    </font>
    <font>
      <name val="Arial"/>
      <charset val="1"/>
      <b val="1"/>
      <color rgb="FF001E3C"/>
      <sz val="11"/>
    </font>
    <font>
      <name val="Arial"/>
      <charset val="1"/>
      <color rgb="FF5B595A"/>
      <sz val="10"/>
    </font>
    <font>
      <name val="Arial"/>
      <charset val="1"/>
      <b val="1"/>
      <color rgb="FFFFFFFF"/>
      <sz val="12"/>
    </font>
    <font>
      <name val="Arial"/>
      <charset val="1"/>
      <b val="1"/>
      <color rgb="FF001E3C"/>
      <sz val="10"/>
    </font>
    <font>
      <name val="Arial"/>
      <charset val="1"/>
      <b val="1"/>
      <color rgb="FFFFFFFF"/>
      <sz val="13"/>
    </font>
    <font>
      <name val="Arial"/>
      <charset val="1"/>
      <b val="1"/>
      <color rgb="FF5B595A"/>
      <sz val="10"/>
    </font>
    <font>
      <name val="Arial"/>
      <charset val="1"/>
      <b val="1"/>
      <color rgb="FFFFFFFF"/>
      <sz val="10"/>
    </font>
    <font>
      <name val="Arial"/>
      <charset val="1"/>
      <color rgb="FF5B595A"/>
      <sz val="11"/>
    </font>
    <font>
      <name val="Arial"/>
      <charset val="1"/>
      <b val="1"/>
      <color rgb="FFFFFFFF"/>
      <sz val="11"/>
    </font>
  </fonts>
  <fills count="8">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009FE3"/>
        <bgColor rgb="FF008080"/>
      </patternFill>
    </fill>
    <fill>
      <patternFill patternType="solid">
        <fgColor rgb="FFFFFFFF"/>
        <bgColor rgb="FFF2F2F2"/>
      </patternFill>
    </fill>
    <fill>
      <patternFill patternType="solid">
        <fgColor rgb="FFF2F2F2"/>
        <bgColor rgb="FFFFFFFF"/>
      </patternFill>
    </fill>
    <fill>
      <patternFill patternType="solid">
        <fgColor rgb="FF83348F"/>
        <bgColor rgb="FF993366"/>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9FE3"/>
      </left>
      <right/>
      <top style="thin">
        <color rgb="FF009FE3"/>
      </top>
      <bottom style="thin">
        <color rgb="FF009FE3"/>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1">
    <xf numFmtId="0" fontId="0" fillId="0" borderId="0"/>
  </cellStyleXfs>
  <cellXfs count="27">
    <xf numFmtId="0" fontId="0" fillId="0" borderId="0" pivotButton="0" quotePrefix="0" xfId="0"/>
    <xf numFmtId="0" fontId="10" fillId="7" borderId="0" applyAlignment="1" pivotButton="0" quotePrefix="0" xfId="0">
      <alignment horizontal="left" vertical="center"/>
    </xf>
    <xf numFmtId="0" fontId="7" fillId="3" borderId="4" applyAlignment="1" pivotButton="0" quotePrefix="0" xfId="0">
      <alignment horizontal="left" vertical="center"/>
    </xf>
    <xf numFmtId="0" fontId="6" fillId="2" borderId="0" applyAlignment="1" pivotButton="0" quotePrefix="0" xfId="0">
      <alignment horizontal="left" vertical="center"/>
    </xf>
    <xf numFmtId="0" fontId="3" fillId="6" borderId="2" applyAlignment="1" pivotButton="0" quotePrefix="0" xfId="0">
      <alignment horizontal="left" vertical="center" wrapText="1"/>
    </xf>
    <xf numFmtId="0" fontId="3" fillId="5" borderId="2" applyAlignment="1" pivotButton="0" quotePrefix="0" xfId="0">
      <alignment horizontal="left" vertical="center" wrapText="1"/>
    </xf>
    <xf numFmtId="0" fontId="4" fillId="4" borderId="0" applyAlignment="1" pivotButton="0" quotePrefix="0" xfId="0">
      <alignment horizontal="left" vertical="center"/>
    </xf>
    <xf numFmtId="0" fontId="3" fillId="0" borderId="2" applyAlignment="1" pivotButton="0" quotePrefix="0" xfId="0">
      <alignment horizontal="left" vertical="center" wrapText="1"/>
    </xf>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5" fillId="5" borderId="3" applyAlignment="1" pivotButton="0" quotePrefix="0" xfId="0">
      <alignment horizontal="left" vertical="center"/>
    </xf>
    <xf numFmtId="0" fontId="5" fillId="6" borderId="3" applyAlignment="1" pivotButton="0" quotePrefix="0" xfId="0">
      <alignment horizontal="left" vertical="center"/>
    </xf>
    <xf numFmtId="0" fontId="8" fillId="4" borderId="1" applyAlignment="1" pivotButton="0" quotePrefix="0" xfId="0">
      <alignment horizontal="center" vertical="center" wrapText="1"/>
    </xf>
    <xf numFmtId="0" fontId="3" fillId="6" borderId="3" applyAlignment="1" pivotButton="0" quotePrefix="0" xfId="0">
      <alignment horizontal="center" vertical="center"/>
    </xf>
    <xf numFmtId="0" fontId="3" fillId="6" borderId="3" applyAlignment="1" pivotButton="0" quotePrefix="0" xfId="0">
      <alignment horizontal="left" vertical="center" wrapText="1"/>
    </xf>
    <xf numFmtId="0" fontId="3" fillId="5" borderId="3" applyAlignment="1" pivotButton="0" quotePrefix="0" xfId="0">
      <alignment horizontal="center" vertical="center"/>
    </xf>
    <xf numFmtId="0" fontId="3" fillId="5" borderId="3" applyAlignment="1" pivotButton="0" quotePrefix="0" xfId="0">
      <alignment horizontal="left" vertical="center" wrapText="1"/>
    </xf>
    <xf numFmtId="0" fontId="8" fillId="4" borderId="1" applyAlignment="1" pivotButton="0" quotePrefix="0" xfId="0">
      <alignment horizontal="center" vertical="center"/>
    </xf>
    <xf numFmtId="0" fontId="7" fillId="3" borderId="3" applyAlignment="1" pivotButton="0" quotePrefix="0" xfId="0">
      <alignment horizontal="left" vertical="center" wrapText="1"/>
    </xf>
    <xf numFmtId="0" fontId="9" fillId="3" borderId="3" applyAlignment="1" pivotButton="0" quotePrefix="0" xfId="0">
      <alignment horizontal="center" vertical="center"/>
    </xf>
    <xf numFmtId="0" fontId="7" fillId="5" borderId="3" applyAlignment="1" pivotButton="0" quotePrefix="0" xfId="0">
      <alignment horizontal="left" vertical="center" wrapText="1"/>
    </xf>
    <xf numFmtId="0" fontId="9" fillId="5" borderId="3" applyAlignment="1" pivotButton="0" quotePrefix="0" xfId="0">
      <alignment horizontal="center" vertical="center"/>
    </xf>
    <xf numFmtId="0" fontId="3" fillId="5" borderId="3" applyAlignment="1" pivotButton="0" quotePrefix="0" xfId="0">
      <alignment horizontal="left" vertical="center"/>
    </xf>
    <xf numFmtId="0" fontId="3" fillId="3" borderId="3" applyAlignment="1" pivotButton="0" quotePrefix="0" xfId="0">
      <alignment horizontal="left" vertical="center"/>
    </xf>
    <xf numFmtId="0" fontId="3" fillId="3" borderId="3" applyAlignment="1" pivotButton="0" quotePrefix="0" xfId="0">
      <alignment horizontal="center" vertical="center"/>
    </xf>
    <xf numFmtId="0" fontId="0" fillId="0" borderId="6" pivotButton="0" quotePrefix="0" xfId="0"/>
    <xf numFmtId="0" fontId="0" fillId="0" borderId="8" pivotButton="0" quotePrefix="0" xfId="0"/>
  </cellXfs>
  <cellStyles count="1">
    <cellStyle name="Normal" xfId="0" builtinId="0"/>
  </cellStyles>
  <dxfs count="9">
    <dxf>
      <font>
        <name val="Arial"/>
        <charset val="1"/>
        <color rgb="FF9C6500"/>
        <sz val="11"/>
      </font>
      <fill>
        <patternFill>
          <bgColor rgb="FFFFEB9C"/>
        </patternFill>
      </fill>
    </dxf>
    <dxf>
      <font>
        <name val="Arial"/>
        <charset val="1"/>
        <b val="1"/>
        <color rgb="FF9C0006"/>
        <sz val="11"/>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b val="1"/>
        <color rgb="FF9C0006"/>
        <sz val="10"/>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83348F"/>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29ABE2"/>
    <outlinePr summaryBelow="1" summaryRight="1"/>
    <pageSetUpPr/>
  </sheetPr>
  <dimension ref="B2:G17"/>
  <sheetViews>
    <sheetView showGridLines="0" tabSelected="1" zoomScaleNormal="100" workbookViewId="0">
      <selection activeCell="A1" sqref="A1"/>
    </sheetView>
  </sheetViews>
  <sheetFormatPr baseColWidth="8" defaultColWidth="8.6640625" defaultRowHeight="14.4"/>
  <cols>
    <col width="3" customWidth="1" min="1" max="1"/>
    <col width="49" customWidth="1" min="2" max="2"/>
    <col width="78" customWidth="1" min="3" max="3"/>
  </cols>
  <sheetData>
    <row r="1" ht="50" customHeight="1"/>
    <row r="2" ht="36" customHeight="1">
      <c r="B2" s="8" t="inlineStr">
        <is>
          <t>NSS-02d  |  NUCLEAR NEAR MISS AND OPERATING EXPERIENCE (OPEX) LOG</t>
        </is>
      </c>
    </row>
    <row r="4" ht="63.75" customHeight="1">
      <c r="B4" s="9" t="inlineStr">
        <is>
          <t>PURPOSE</t>
        </is>
      </c>
      <c r="C4" s="7" t="inlineStr">
        <is>
          <t>This log captures near misses, safety observations, and operating experience (OPEX) specifically relevant to nuclear safety culture, graded by nuclear safety significance. It operationalises the Problem Identification and Resolution (PI) and Continuous Learning (CL) traits described in NSS-02a.</t>
        </is>
      </c>
      <c r="D4" s="25" t="n"/>
      <c r="E4" s="25" t="n"/>
      <c r="F4" s="25" t="n"/>
      <c r="G4" s="25" t="n"/>
    </row>
    <row r="5" ht="63.75" customHeight="1">
      <c r="B5" s="9" t="inlineStr">
        <is>
          <t>HOW THIS DIFFERS FROM YOUR NCR SYSTEM</t>
        </is>
      </c>
      <c r="C5" s="7" t="inlineStr">
        <is>
          <t>This log is NOT a replacement for your standard non-conformance reporting (NCR) system or generic root cause analysis tools used elsewhere in your quality management system. Those tools remain the correct place to log product or process non-conformances. This log specifically captures near misses, safety observations, and lessons relevant to nuclear safety culture, including items that would never generate a formal NCR. If an entry here also results in a formal NCR, simply cross-reference the NCR number rather than duplicating the investigation.</t>
        </is>
      </c>
      <c r="D5" s="25" t="n"/>
      <c r="E5" s="25" t="n"/>
      <c r="F5" s="25" t="n"/>
      <c r="G5" s="25" t="n"/>
    </row>
    <row r="6" ht="63.75" customHeight="1">
      <c r="B6" s="9" t="inlineStr">
        <is>
          <t>WHAT TO LOG</t>
        </is>
      </c>
      <c r="C6" s="7" t="inlineStr">
        <is>
          <t>Any near miss, safety observation, or piece of operating experience relevant to nuclear safety. This includes: a procedure not being followed even though no harm resulted; a concern raised by a member of staff about a nuclear safety practice; a lesson learned from an industry alert, client communication, or another site; a positive observation worth reinforcing and sharing, not just a negative one.</t>
        </is>
      </c>
      <c r="D6" s="25" t="n"/>
      <c r="E6" s="25" t="n"/>
      <c r="F6" s="25" t="n"/>
      <c r="G6" s="25" t="n"/>
    </row>
    <row r="7" ht="63.75" customHeight="1">
      <c r="B7" s="9" t="inlineStr">
        <is>
          <t>SAFETY SIGNIFICANCE GRADING</t>
        </is>
      </c>
      <c r="C7" s="7" t="inlineStr">
        <is>
          <t>Each entry is graded for nuclear safety significance: Low (limited relevance to nuclear safety, but worth recording for learning), Medium (a genuine gap that could contribute to a more significant event if repeated or combined with other factors), High (a near miss that, in slightly different circumstances, could have led to a significant nuclear safety event). High significance items should be escalated immediately and not wait for the next review meeting.</t>
        </is>
      </c>
      <c r="D7" s="25" t="n"/>
      <c r="E7" s="25" t="n"/>
      <c r="F7" s="25" t="n"/>
      <c r="G7" s="25" t="n"/>
    </row>
    <row r="8" ht="63.75" customHeight="1">
      <c r="B8" s="9" t="inlineStr">
        <is>
          <t>LEARNING AND SHARING</t>
        </is>
      </c>
      <c r="C8" s="7" t="inlineStr">
        <is>
          <t>The value of this log lies in what happens after an entry is logged. Use the Lessons Shared column to confirm that genuine learning has been communicated, for example through a toolbox talk, a safety briefing, or an update to a procedure. An item that is logged but never shared has only partially delivered its value.</t>
        </is>
      </c>
      <c r="D8" s="25" t="n"/>
      <c r="E8" s="25" t="n"/>
      <c r="F8" s="25" t="n"/>
      <c r="G8" s="25" t="n"/>
    </row>
    <row r="9" ht="63.75" customHeight="1">
      <c r="B9" s="9" t="inlineStr">
        <is>
          <t>REVIEW FREQUENCY</t>
        </is>
      </c>
      <c r="C9" s="7" t="inlineStr">
        <is>
          <t>Review all open entries at least monthly. High significance entries should be reviewed and actioned within one week of being raised. Use the Dashboard sheet to track open items and lessons not yet shared.</t>
        </is>
      </c>
      <c r="D9" s="25" t="n"/>
      <c r="E9" s="25" t="n"/>
      <c r="F9" s="25" t="n"/>
      <c r="G9" s="25" t="n"/>
    </row>
    <row r="10" ht="63.75" customHeight="1">
      <c r="B10" s="9" t="inlineStr">
        <is>
          <t>RELATIONSHIP TO OTHER TOOLS</t>
        </is>
      </c>
      <c r="C10" s="7" t="inlineStr">
        <is>
          <t>This log connects to NSS-02e (Just Culture Framework), which should be used to guide how any individual involved in a near miss is treated. It also connects to NSS-08 Continuous Improvement and Innovation for wider OPEX sharing across the toolkit.</t>
        </is>
      </c>
      <c r="D10" s="25" t="n"/>
      <c r="E10" s="25" t="n"/>
      <c r="F10" s="25" t="n"/>
      <c r="G10" s="25" t="n"/>
    </row>
    <row r="12" ht="25.5" customHeight="1">
      <c r="B12" s="6" t="inlineStr">
        <is>
          <t>COLUMN GUIDE</t>
        </is>
      </c>
    </row>
    <row r="13" ht="24" customHeight="1">
      <c r="B13" s="10" t="inlineStr">
        <is>
          <t>Type</t>
        </is>
      </c>
      <c r="C13" s="5" t="inlineStr">
        <is>
          <t>Near Miss / Safety Observation / OPEX (External) / Positive Observation</t>
        </is>
      </c>
      <c r="D13" s="25" t="n"/>
      <c r="E13" s="25" t="n"/>
      <c r="F13" s="25" t="n"/>
      <c r="G13" s="25" t="n"/>
    </row>
    <row r="14" ht="24" customHeight="1">
      <c r="B14" s="11" t="inlineStr">
        <is>
          <t>Trait(s) Most Relevant</t>
        </is>
      </c>
      <c r="C14" s="4" t="inlineStr">
        <is>
          <t>Which of the ten safety culture traits (NSS-02a) the entry relates to</t>
        </is>
      </c>
      <c r="D14" s="25" t="n"/>
      <c r="E14" s="25" t="n"/>
      <c r="F14" s="25" t="n"/>
      <c r="G14" s="25" t="n"/>
    </row>
    <row r="15" ht="24" customHeight="1">
      <c r="B15" s="10" t="inlineStr">
        <is>
          <t>Safety Significance</t>
        </is>
      </c>
      <c r="C15" s="5" t="inlineStr">
        <is>
          <t>Low / Medium / High, based on the potential consequence had circumstances been slightly different</t>
        </is>
      </c>
      <c r="D15" s="25" t="n"/>
      <c r="E15" s="25" t="n"/>
      <c r="F15" s="25" t="n"/>
      <c r="G15" s="25" t="n"/>
    </row>
    <row r="16" ht="24" customHeight="1">
      <c r="B16" s="11" t="inlineStr">
        <is>
          <t>Linked NCR / Other Record</t>
        </is>
      </c>
      <c r="C16" s="4" t="inlineStr">
        <is>
          <t>Cross-reference to a formal NCR, incident report, or external alert number if one exists, rather than duplicating the investigation</t>
        </is>
      </c>
      <c r="D16" s="25" t="n"/>
      <c r="E16" s="25" t="n"/>
      <c r="F16" s="25" t="n"/>
      <c r="G16" s="25" t="n"/>
    </row>
    <row r="17" ht="24" customHeight="1">
      <c r="B17" s="10" t="inlineStr">
        <is>
          <t>Lessons Shared</t>
        </is>
      </c>
      <c r="C17" s="5" t="inlineStr">
        <is>
          <t>Yes / No / Planned - confirms whether the learning has actually been communicated, not just recorded</t>
        </is>
      </c>
      <c r="D17" s="25" t="n"/>
      <c r="E17" s="25" t="n"/>
      <c r="F17" s="25" t="n"/>
      <c r="G17" s="25" t="n"/>
    </row>
  </sheetData>
  <mergeCells count="14">
    <mergeCell ref="B2:G2"/>
    <mergeCell ref="C7:G7"/>
    <mergeCell ref="C4:G4"/>
    <mergeCell ref="C6:G6"/>
    <mergeCell ref="C10:G10"/>
    <mergeCell ref="C16:G16"/>
    <mergeCell ref="C15:G15"/>
    <mergeCell ref="C5:G5"/>
    <mergeCell ref="B12:G12"/>
    <mergeCell ref="C14:G14"/>
    <mergeCell ref="C13:G13"/>
    <mergeCell ref="C8:G8"/>
    <mergeCell ref="C9:G9"/>
    <mergeCell ref="C17:G17"/>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B1:N56"/>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3" customWidth="1" min="1" max="1"/>
    <col width="10" customWidth="1" min="2" max="2"/>
    <col width="14" customWidth="1" min="3" max="3"/>
    <col width="30" customWidth="1" min="4" max="4"/>
    <col width="16" customWidth="1" min="5" max="5"/>
    <col width="14" customWidth="1" min="6" max="6"/>
    <col width="24" customWidth="1" min="7" max="7"/>
    <col width="18" customWidth="1" min="8" max="8"/>
    <col width="22" customWidth="1" min="9" max="9"/>
    <col width="14" customWidth="1" min="10" max="10"/>
    <col width="16" customWidth="1" min="11" max="11"/>
    <col width="14" customWidth="1" min="12" max="12"/>
    <col width="20" customWidth="1" min="13" max="13"/>
  </cols>
  <sheetData>
    <row r="1" ht="50" customHeight="1">
      <c r="B1" s="3" t="inlineStr">
        <is>
          <t>NSS-02d  |  NUCLEAR NEAR MISS AND OPERATING EXPERIENCE (OPEX) LOG</t>
        </is>
      </c>
    </row>
    <row r="2" ht="21.75" customHeight="1">
      <c r="B2" s="2" t="inlineStr">
        <is>
          <t>Company:</t>
        </is>
      </c>
      <c r="C2" s="26" t="n"/>
      <c r="D2" s="26" t="n"/>
      <c r="E2" s="2" t="inlineStr">
        <is>
          <t>Log Owner:</t>
        </is>
      </c>
      <c r="F2" s="26" t="n"/>
      <c r="G2" s="26" t="n"/>
      <c r="H2" s="2" t="inlineStr">
        <is>
          <t>Version: 1.0</t>
        </is>
      </c>
      <c r="I2" s="26" t="n"/>
      <c r="J2" s="2" t="inlineStr">
        <is>
          <t>Last Reviewed:</t>
        </is>
      </c>
      <c r="K2" s="26" t="n"/>
      <c r="L2" s="26" t="n"/>
      <c r="M2" s="26" t="n"/>
    </row>
    <row r="3" ht="33.75" customHeight="1">
      <c r="B3" s="12" t="inlineStr">
        <is>
          <t>Ref</t>
        </is>
      </c>
      <c r="C3" s="12" t="inlineStr">
        <is>
          <t>Date</t>
        </is>
      </c>
      <c r="D3" s="12" t="inlineStr">
        <is>
          <t>Type</t>
        </is>
      </c>
      <c r="E3" s="12" t="inlineStr">
        <is>
          <t>Description</t>
        </is>
      </c>
      <c r="F3" s="12" t="inlineStr">
        <is>
          <t>Trait(s) Most Relevant</t>
        </is>
      </c>
      <c r="G3" s="12" t="inlineStr">
        <is>
          <t>Safety Significance</t>
        </is>
      </c>
      <c r="H3" s="12" t="inlineStr">
        <is>
          <t>Immediate Action Taken</t>
        </is>
      </c>
      <c r="I3" s="12" t="inlineStr">
        <is>
          <t>Reported By</t>
        </is>
      </c>
      <c r="J3" s="12" t="inlineStr">
        <is>
          <t>Investigation Lead</t>
        </is>
      </c>
      <c r="K3" s="12" t="inlineStr">
        <is>
          <t>Linked NCR / Other Record</t>
        </is>
      </c>
      <c r="L3" s="12" t="inlineStr">
        <is>
          <t>Lessons Shared</t>
        </is>
      </c>
      <c r="M3" s="12" t="inlineStr">
        <is>
          <t>Status</t>
        </is>
      </c>
      <c r="N3" s="12" t="inlineStr">
        <is>
          <t>Date Closed</t>
        </is>
      </c>
    </row>
    <row r="4" ht="48" customHeight="1">
      <c r="B4" s="13">
        <f>IF(D4&lt;&gt;"","NM-"&amp;TEXT(ROW()-3,"000"),"")</f>
        <v/>
      </c>
      <c r="C4" s="14" t="inlineStr">
        <is>
          <t>15/01/2025</t>
        </is>
      </c>
      <c r="D4" s="14" t="inlineStr">
        <is>
          <t>Near Miss</t>
        </is>
      </c>
      <c r="E4" s="14" t="inlineStr">
        <is>
          <t>Operator noticed a torque wrench was out of calibration before use on a safety-related fastening operation. Work was stopped before any fastening took place.</t>
        </is>
      </c>
      <c r="F4" s="14" t="inlineStr">
        <is>
          <t>IR, QA</t>
        </is>
      </c>
      <c r="G4" s="14" t="inlineStr">
        <is>
          <t>Medium</t>
        </is>
      </c>
      <c r="H4" s="14" t="inlineStr">
        <is>
          <t>Work stopped immediately, wrench quarantined and sent for recalibration, all fastenings completed that week reviewed</t>
        </is>
      </c>
      <c r="I4" s="14" t="inlineStr">
        <is>
          <t>J. Smith</t>
        </is>
      </c>
      <c r="J4" s="14" t="inlineStr">
        <is>
          <t>Quality Manager</t>
        </is>
      </c>
      <c r="K4" s="14" t="inlineStr">
        <is>
          <t>NCR-0142</t>
        </is>
      </c>
      <c r="L4" s="14" t="inlineStr">
        <is>
          <t>Yes</t>
        </is>
      </c>
      <c r="M4" s="14" t="inlineStr">
        <is>
          <t>Closed</t>
        </is>
      </c>
      <c r="N4" s="14" t="inlineStr">
        <is>
          <t>22/01/2025</t>
        </is>
      </c>
    </row>
    <row r="5" ht="48" customHeight="1">
      <c r="B5" s="15">
        <f>IF(D5&lt;&gt;"","NM-"&amp;TEXT(ROW()-3,"000"),"")</f>
        <v/>
      </c>
      <c r="C5" s="16" t="inlineStr">
        <is>
          <t>03/02/2025</t>
        </is>
      </c>
      <c r="D5" s="16" t="inlineStr">
        <is>
          <t>Safety Observation</t>
        </is>
      </c>
      <c r="E5" s="16" t="inlineStr">
        <is>
          <t>A staff member raised that pre-job briefings were being rushed on Friday afternoons due to time pressure, reducing their effectiveness.</t>
        </is>
      </c>
      <c r="F5" s="16" t="inlineStr">
        <is>
          <t>CO, WP</t>
        </is>
      </c>
      <c r="G5" s="16" t="inlineStr">
        <is>
          <t>Medium</t>
        </is>
      </c>
      <c r="H5" s="16" t="inlineStr">
        <is>
          <t>Briefing standard reinforced with supervisors, Friday scheduling reviewed</t>
        </is>
      </c>
      <c r="I5" s="16" t="inlineStr">
        <is>
          <t>Anonymous via RC channel</t>
        </is>
      </c>
      <c r="J5" s="16" t="inlineStr">
        <is>
          <t>Operations Manager</t>
        </is>
      </c>
      <c r="K5" s="16" t="n"/>
      <c r="L5" s="16" t="inlineStr">
        <is>
          <t>Planned</t>
        </is>
      </c>
      <c r="M5" s="16" t="inlineStr">
        <is>
          <t>Investigating</t>
        </is>
      </c>
      <c r="N5" s="16" t="n"/>
    </row>
    <row r="6" ht="48" customHeight="1">
      <c r="B6" s="13">
        <f>IF(D6&lt;&gt;"","NM-"&amp;TEXT(ROW()-3,"000"),"")</f>
        <v/>
      </c>
      <c r="C6" s="14" t="inlineStr">
        <is>
          <t>18/02/2025</t>
        </is>
      </c>
      <c r="D6" s="14" t="inlineStr">
        <is>
          <t>OPEX (External)</t>
        </is>
      </c>
      <c r="E6" s="14" t="inlineStr">
        <is>
          <t>Industry alert received from NucCol regarding a CFSI incident involving counterfeit fasteners at another supplier. Reviewed for relevance to our own goods receipt process.</t>
        </is>
      </c>
      <c r="F6" s="14" t="inlineStr">
        <is>
          <t>QA, PI</t>
        </is>
      </c>
      <c r="G6" s="14" t="inlineStr">
        <is>
          <t>Low</t>
        </is>
      </c>
      <c r="H6" s="14" t="inlineStr">
        <is>
          <t>Goods receipt checklist reviewed against alert content, no gaps identified, findings shared at toolbox talk</t>
        </is>
      </c>
      <c r="I6" s="14" t="inlineStr">
        <is>
          <t>Quality Manager</t>
        </is>
      </c>
      <c r="J6" s="14" t="inlineStr">
        <is>
          <t>Quality Manager</t>
        </is>
      </c>
      <c r="K6" s="14" t="n"/>
      <c r="L6" s="14" t="inlineStr">
        <is>
          <t>Yes</t>
        </is>
      </c>
      <c r="M6" s="14" t="inlineStr">
        <is>
          <t>Closed</t>
        </is>
      </c>
      <c r="N6" s="14" t="inlineStr">
        <is>
          <t>20/02/2025</t>
        </is>
      </c>
    </row>
    <row r="7" ht="30" customHeight="1">
      <c r="B7" s="15">
        <f>IF(D7&lt;&gt;"","NM-"&amp;TEXT(ROW()-3,"000"),"")</f>
        <v/>
      </c>
      <c r="C7" s="16" t="n"/>
      <c r="D7" s="16" t="n"/>
      <c r="E7" s="16" t="n"/>
      <c r="F7" s="16" t="n"/>
      <c r="G7" s="16" t="n"/>
      <c r="H7" s="16" t="n"/>
      <c r="I7" s="16" t="n"/>
      <c r="J7" s="16" t="n"/>
      <c r="K7" s="16" t="n"/>
      <c r="L7" s="16" t="n"/>
      <c r="M7" s="16" t="n"/>
    </row>
    <row r="8" ht="30" customHeight="1">
      <c r="B8" s="13">
        <f>IF(D8&lt;&gt;"","NM-"&amp;TEXT(ROW()-3,"000"),"")</f>
        <v/>
      </c>
      <c r="C8" s="14" t="n"/>
      <c r="D8" s="14" t="n"/>
      <c r="E8" s="14" t="n"/>
      <c r="F8" s="14" t="n"/>
      <c r="G8" s="14" t="n"/>
      <c r="H8" s="14" t="n"/>
      <c r="I8" s="14" t="n"/>
      <c r="J8" s="14" t="n"/>
      <c r="K8" s="14" t="n"/>
      <c r="L8" s="14" t="n"/>
      <c r="M8" s="14" t="n"/>
    </row>
    <row r="9" ht="30" customHeight="1">
      <c r="B9" s="15">
        <f>IF(D9&lt;&gt;"","NM-"&amp;TEXT(ROW()-3,"000"),"")</f>
        <v/>
      </c>
      <c r="C9" s="16" t="n"/>
      <c r="D9" s="16" t="n"/>
      <c r="E9" s="16" t="n"/>
      <c r="F9" s="16" t="n"/>
      <c r="G9" s="16" t="n"/>
      <c r="H9" s="16" t="n"/>
      <c r="I9" s="16" t="n"/>
      <c r="J9" s="16" t="n"/>
      <c r="K9" s="16" t="n"/>
      <c r="L9" s="16" t="n"/>
      <c r="M9" s="16" t="n"/>
    </row>
    <row r="10" ht="30" customHeight="1">
      <c r="B10" s="13">
        <f>IF(D10&lt;&gt;"","NM-"&amp;TEXT(ROW()-3,"000"),"")</f>
        <v/>
      </c>
      <c r="C10" s="14" t="n"/>
      <c r="D10" s="14" t="n"/>
      <c r="E10" s="14" t="n"/>
      <c r="F10" s="14" t="n"/>
      <c r="G10" s="14" t="n"/>
      <c r="H10" s="14" t="n"/>
      <c r="I10" s="14" t="n"/>
      <c r="J10" s="14" t="n"/>
      <c r="K10" s="14" t="n"/>
      <c r="L10" s="14" t="n"/>
      <c r="M10" s="14" t="n"/>
    </row>
    <row r="11" ht="30" customHeight="1">
      <c r="B11" s="15">
        <f>IF(D11&lt;&gt;"","NM-"&amp;TEXT(ROW()-3,"000"),"")</f>
        <v/>
      </c>
      <c r="C11" s="16" t="n"/>
      <c r="D11" s="16" t="n"/>
      <c r="E11" s="16" t="n"/>
      <c r="F11" s="16" t="n"/>
      <c r="G11" s="16" t="n"/>
      <c r="H11" s="16" t="n"/>
      <c r="I11" s="16" t="n"/>
      <c r="J11" s="16" t="n"/>
      <c r="K11" s="16" t="n"/>
      <c r="L11" s="16" t="n"/>
      <c r="M11" s="16" t="n"/>
    </row>
    <row r="12" ht="30" customHeight="1">
      <c r="B12" s="13">
        <f>IF(D12&lt;&gt;"","NM-"&amp;TEXT(ROW()-3,"000"),"")</f>
        <v/>
      </c>
      <c r="C12" s="14" t="n"/>
      <c r="D12" s="14" t="n"/>
      <c r="E12" s="14" t="n"/>
      <c r="F12" s="14" t="n"/>
      <c r="G12" s="14" t="n"/>
      <c r="H12" s="14" t="n"/>
      <c r="I12" s="14" t="n"/>
      <c r="J12" s="14" t="n"/>
      <c r="K12" s="14" t="n"/>
      <c r="L12" s="14" t="n"/>
      <c r="M12" s="14" t="n"/>
    </row>
    <row r="13" ht="30" customHeight="1">
      <c r="B13" s="15">
        <f>IF(D13&lt;&gt;"","NM-"&amp;TEXT(ROW()-3,"000"),"")</f>
        <v/>
      </c>
      <c r="C13" s="16" t="n"/>
      <c r="D13" s="16" t="n"/>
      <c r="E13" s="16" t="n"/>
      <c r="F13" s="16" t="n"/>
      <c r="G13" s="16" t="n"/>
      <c r="H13" s="16" t="n"/>
      <c r="I13" s="16" t="n"/>
      <c r="J13" s="16" t="n"/>
      <c r="K13" s="16" t="n"/>
      <c r="L13" s="16" t="n"/>
      <c r="M13" s="16" t="n"/>
    </row>
    <row r="14" ht="30" customHeight="1">
      <c r="B14" s="13">
        <f>IF(D14&lt;&gt;"","NM-"&amp;TEXT(ROW()-3,"000"),"")</f>
        <v/>
      </c>
      <c r="C14" s="14" t="n"/>
      <c r="D14" s="14" t="n"/>
      <c r="E14" s="14" t="n"/>
      <c r="F14" s="14" t="n"/>
      <c r="G14" s="14" t="n"/>
      <c r="H14" s="14" t="n"/>
      <c r="I14" s="14" t="n"/>
      <c r="J14" s="14" t="n"/>
      <c r="K14" s="14" t="n"/>
      <c r="L14" s="14" t="n"/>
      <c r="M14" s="14" t="n"/>
    </row>
    <row r="15" ht="30" customHeight="1">
      <c r="B15" s="15">
        <f>IF(D15&lt;&gt;"","NM-"&amp;TEXT(ROW()-3,"000"),"")</f>
        <v/>
      </c>
      <c r="C15" s="16" t="n"/>
      <c r="D15" s="16" t="n"/>
      <c r="E15" s="16" t="n"/>
      <c r="F15" s="16" t="n"/>
      <c r="G15" s="16" t="n"/>
      <c r="H15" s="16" t="n"/>
      <c r="I15" s="16" t="n"/>
      <c r="J15" s="16" t="n"/>
      <c r="K15" s="16" t="n"/>
      <c r="L15" s="16" t="n"/>
      <c r="M15" s="16" t="n"/>
    </row>
    <row r="16" ht="30" customHeight="1">
      <c r="B16" s="13">
        <f>IF(D16&lt;&gt;"","NM-"&amp;TEXT(ROW()-3,"000"),"")</f>
        <v/>
      </c>
      <c r="C16" s="14" t="n"/>
      <c r="D16" s="14" t="n"/>
      <c r="E16" s="14" t="n"/>
      <c r="F16" s="14" t="n"/>
      <c r="G16" s="14" t="n"/>
      <c r="H16" s="14" t="n"/>
      <c r="I16" s="14" t="n"/>
      <c r="J16" s="14" t="n"/>
      <c r="K16" s="14" t="n"/>
      <c r="L16" s="14" t="n"/>
      <c r="M16" s="14" t="n"/>
    </row>
    <row r="17" ht="30" customHeight="1">
      <c r="B17" s="15">
        <f>IF(D17&lt;&gt;"","NM-"&amp;TEXT(ROW()-3,"000"),"")</f>
        <v/>
      </c>
      <c r="C17" s="16" t="n"/>
      <c r="D17" s="16" t="n"/>
      <c r="E17" s="16" t="n"/>
      <c r="F17" s="16" t="n"/>
      <c r="G17" s="16" t="n"/>
      <c r="H17" s="16" t="n"/>
      <c r="I17" s="16" t="n"/>
      <c r="J17" s="16" t="n"/>
      <c r="K17" s="16" t="n"/>
      <c r="L17" s="16" t="n"/>
      <c r="M17" s="16" t="n"/>
    </row>
    <row r="18" ht="30" customHeight="1">
      <c r="B18" s="13">
        <f>IF(D18&lt;&gt;"","NM-"&amp;TEXT(ROW()-3,"000"),"")</f>
        <v/>
      </c>
      <c r="C18" s="14" t="n"/>
      <c r="D18" s="14" t="n"/>
      <c r="E18" s="14" t="n"/>
      <c r="F18" s="14" t="n"/>
      <c r="G18" s="14" t="n"/>
      <c r="H18" s="14" t="n"/>
      <c r="I18" s="14" t="n"/>
      <c r="J18" s="14" t="n"/>
      <c r="K18" s="14" t="n"/>
      <c r="L18" s="14" t="n"/>
      <c r="M18" s="14" t="n"/>
    </row>
    <row r="19" ht="30" customHeight="1">
      <c r="B19" s="15">
        <f>IF(D19&lt;&gt;"","NM-"&amp;TEXT(ROW()-3,"000"),"")</f>
        <v/>
      </c>
      <c r="C19" s="16" t="n"/>
      <c r="D19" s="16" t="n"/>
      <c r="E19" s="16" t="n"/>
      <c r="F19" s="16" t="n"/>
      <c r="G19" s="16" t="n"/>
      <c r="H19" s="16" t="n"/>
      <c r="I19" s="16" t="n"/>
      <c r="J19" s="16" t="n"/>
      <c r="K19" s="16" t="n"/>
      <c r="L19" s="16" t="n"/>
      <c r="M19" s="16" t="n"/>
    </row>
    <row r="20" ht="30" customHeight="1">
      <c r="B20" s="13">
        <f>IF(D20&lt;&gt;"","NM-"&amp;TEXT(ROW()-3,"000"),"")</f>
        <v/>
      </c>
      <c r="C20" s="14" t="n"/>
      <c r="D20" s="14" t="n"/>
      <c r="E20" s="14" t="n"/>
      <c r="F20" s="14" t="n"/>
      <c r="G20" s="14" t="n"/>
      <c r="H20" s="14" t="n"/>
      <c r="I20" s="14" t="n"/>
      <c r="J20" s="14" t="n"/>
      <c r="K20" s="14" t="n"/>
      <c r="L20" s="14" t="n"/>
      <c r="M20" s="14" t="n"/>
    </row>
    <row r="21" ht="30" customHeight="1">
      <c r="B21" s="15">
        <f>IF(D21&lt;&gt;"","NM-"&amp;TEXT(ROW()-3,"000"),"")</f>
        <v/>
      </c>
      <c r="C21" s="16" t="n"/>
      <c r="D21" s="16" t="n"/>
      <c r="E21" s="16" t="n"/>
      <c r="F21" s="16" t="n"/>
      <c r="G21" s="16" t="n"/>
      <c r="H21" s="16" t="n"/>
      <c r="I21" s="16" t="n"/>
      <c r="J21" s="16" t="n"/>
      <c r="K21" s="16" t="n"/>
      <c r="L21" s="16" t="n"/>
      <c r="M21" s="16" t="n"/>
    </row>
    <row r="22" ht="30" customHeight="1">
      <c r="B22" s="13">
        <f>IF(D22&lt;&gt;"","NM-"&amp;TEXT(ROW()-3,"000"),"")</f>
        <v/>
      </c>
      <c r="C22" s="14" t="n"/>
      <c r="D22" s="14" t="n"/>
      <c r="E22" s="14" t="n"/>
      <c r="F22" s="14" t="n"/>
      <c r="G22" s="14" t="n"/>
      <c r="H22" s="14" t="n"/>
      <c r="I22" s="14" t="n"/>
      <c r="J22" s="14" t="n"/>
      <c r="K22" s="14" t="n"/>
      <c r="L22" s="14" t="n"/>
      <c r="M22" s="14" t="n"/>
    </row>
    <row r="23" ht="30" customHeight="1">
      <c r="B23" s="15">
        <f>IF(D23&lt;&gt;"","NM-"&amp;TEXT(ROW()-3,"000"),"")</f>
        <v/>
      </c>
      <c r="C23" s="16" t="n"/>
      <c r="D23" s="16" t="n"/>
      <c r="E23" s="16" t="n"/>
      <c r="F23" s="16" t="n"/>
      <c r="G23" s="16" t="n"/>
      <c r="H23" s="16" t="n"/>
      <c r="I23" s="16" t="n"/>
      <c r="J23" s="16" t="n"/>
      <c r="K23" s="16" t="n"/>
      <c r="L23" s="16" t="n"/>
      <c r="M23" s="16" t="n"/>
    </row>
    <row r="24" ht="30" customHeight="1">
      <c r="B24" s="13">
        <f>IF(D24&lt;&gt;"","NM-"&amp;TEXT(ROW()-3,"000"),"")</f>
        <v/>
      </c>
      <c r="C24" s="14" t="n"/>
      <c r="D24" s="14" t="n"/>
      <c r="E24" s="14" t="n"/>
      <c r="F24" s="14" t="n"/>
      <c r="G24" s="14" t="n"/>
      <c r="H24" s="14" t="n"/>
      <c r="I24" s="14" t="n"/>
      <c r="J24" s="14" t="n"/>
      <c r="K24" s="14" t="n"/>
      <c r="L24" s="14" t="n"/>
      <c r="M24" s="14" t="n"/>
    </row>
    <row r="25" ht="30" customHeight="1">
      <c r="B25" s="15">
        <f>IF(D25&lt;&gt;"","NM-"&amp;TEXT(ROW()-3,"000"),"")</f>
        <v/>
      </c>
      <c r="C25" s="16" t="n"/>
      <c r="D25" s="16" t="n"/>
      <c r="E25" s="16" t="n"/>
      <c r="F25" s="16" t="n"/>
      <c r="G25" s="16" t="n"/>
      <c r="H25" s="16" t="n"/>
      <c r="I25" s="16" t="n"/>
      <c r="J25" s="16" t="n"/>
      <c r="K25" s="16" t="n"/>
      <c r="L25" s="16" t="n"/>
      <c r="M25" s="16" t="n"/>
    </row>
    <row r="26" ht="30" customHeight="1">
      <c r="B26" s="13">
        <f>IF(D26&lt;&gt;"","NM-"&amp;TEXT(ROW()-3,"000"),"")</f>
        <v/>
      </c>
      <c r="C26" s="14" t="n"/>
      <c r="D26" s="14" t="n"/>
      <c r="E26" s="14" t="n"/>
      <c r="F26" s="14" t="n"/>
      <c r="G26" s="14" t="n"/>
      <c r="H26" s="14" t="n"/>
      <c r="I26" s="14" t="n"/>
      <c r="J26" s="14" t="n"/>
      <c r="K26" s="14" t="n"/>
      <c r="L26" s="14" t="n"/>
      <c r="M26" s="14" t="n"/>
    </row>
    <row r="27" ht="30" customHeight="1">
      <c r="B27" s="15">
        <f>IF(D27&lt;&gt;"","NM-"&amp;TEXT(ROW()-3,"000"),"")</f>
        <v/>
      </c>
      <c r="C27" s="16" t="n"/>
      <c r="D27" s="16" t="n"/>
      <c r="E27" s="16" t="n"/>
      <c r="F27" s="16" t="n"/>
      <c r="G27" s="16" t="n"/>
      <c r="H27" s="16" t="n"/>
      <c r="I27" s="16" t="n"/>
      <c r="J27" s="16" t="n"/>
      <c r="K27" s="16" t="n"/>
      <c r="L27" s="16" t="n"/>
      <c r="M27" s="16" t="n"/>
    </row>
    <row r="28" ht="30" customHeight="1">
      <c r="B28" s="13">
        <f>IF(D28&lt;&gt;"","NM-"&amp;TEXT(ROW()-3,"000"),"")</f>
        <v/>
      </c>
      <c r="C28" s="14" t="n"/>
      <c r="D28" s="14" t="n"/>
      <c r="E28" s="14" t="n"/>
      <c r="F28" s="14" t="n"/>
      <c r="G28" s="14" t="n"/>
      <c r="H28" s="14" t="n"/>
      <c r="I28" s="14" t="n"/>
      <c r="J28" s="14" t="n"/>
      <c r="K28" s="14" t="n"/>
      <c r="L28" s="14" t="n"/>
      <c r="M28" s="14" t="n"/>
    </row>
    <row r="29" ht="30" customHeight="1">
      <c r="B29" s="15">
        <f>IF(D29&lt;&gt;"","NM-"&amp;TEXT(ROW()-3,"000"),"")</f>
        <v/>
      </c>
      <c r="C29" s="16" t="n"/>
      <c r="D29" s="16" t="n"/>
      <c r="E29" s="16" t="n"/>
      <c r="F29" s="16" t="n"/>
      <c r="G29" s="16" t="n"/>
      <c r="H29" s="16" t="n"/>
      <c r="I29" s="16" t="n"/>
      <c r="J29" s="16" t="n"/>
      <c r="K29" s="16" t="n"/>
      <c r="L29" s="16" t="n"/>
      <c r="M29" s="16" t="n"/>
    </row>
    <row r="30" ht="30" customHeight="1">
      <c r="B30" s="13">
        <f>IF(D30&lt;&gt;"","NM-"&amp;TEXT(ROW()-3,"000"),"")</f>
        <v/>
      </c>
      <c r="C30" s="14" t="n"/>
      <c r="D30" s="14" t="n"/>
      <c r="E30" s="14" t="n"/>
      <c r="F30" s="14" t="n"/>
      <c r="G30" s="14" t="n"/>
      <c r="H30" s="14" t="n"/>
      <c r="I30" s="14" t="n"/>
      <c r="J30" s="14" t="n"/>
      <c r="K30" s="14" t="n"/>
      <c r="L30" s="14" t="n"/>
      <c r="M30" s="14" t="n"/>
    </row>
    <row r="31" ht="30" customHeight="1">
      <c r="B31" s="15">
        <f>IF(D31&lt;&gt;"","NM-"&amp;TEXT(ROW()-3,"000"),"")</f>
        <v/>
      </c>
      <c r="C31" s="16" t="n"/>
      <c r="D31" s="16" t="n"/>
      <c r="E31" s="16" t="n"/>
      <c r="F31" s="16" t="n"/>
      <c r="G31" s="16" t="n"/>
      <c r="H31" s="16" t="n"/>
      <c r="I31" s="16" t="n"/>
      <c r="J31" s="16" t="n"/>
      <c r="K31" s="16" t="n"/>
      <c r="L31" s="16" t="n"/>
      <c r="M31" s="16" t="n"/>
    </row>
    <row r="32" ht="30" customHeight="1">
      <c r="B32" s="13">
        <f>IF(D32&lt;&gt;"","NM-"&amp;TEXT(ROW()-3,"000"),"")</f>
        <v/>
      </c>
      <c r="C32" s="14" t="n"/>
      <c r="D32" s="14" t="n"/>
      <c r="E32" s="14" t="n"/>
      <c r="F32" s="14" t="n"/>
      <c r="G32" s="14" t="n"/>
      <c r="H32" s="14" t="n"/>
      <c r="I32" s="14" t="n"/>
      <c r="J32" s="14" t="n"/>
      <c r="K32" s="14" t="n"/>
      <c r="L32" s="14" t="n"/>
      <c r="M32" s="14" t="n"/>
    </row>
    <row r="33" ht="30" customHeight="1">
      <c r="B33" s="15">
        <f>IF(D33&lt;&gt;"","NM-"&amp;TEXT(ROW()-3,"000"),"")</f>
        <v/>
      </c>
      <c r="C33" s="16" t="n"/>
      <c r="D33" s="16" t="n"/>
      <c r="E33" s="16" t="n"/>
      <c r="F33" s="16" t="n"/>
      <c r="G33" s="16" t="n"/>
      <c r="H33" s="16" t="n"/>
      <c r="I33" s="16" t="n"/>
      <c r="J33" s="16" t="n"/>
      <c r="K33" s="16" t="n"/>
      <c r="L33" s="16" t="n"/>
      <c r="M33" s="16" t="n"/>
    </row>
    <row r="34" ht="30" customHeight="1">
      <c r="B34" s="13">
        <f>IF(D34&lt;&gt;"","NM-"&amp;TEXT(ROW()-3,"000"),"")</f>
        <v/>
      </c>
      <c r="C34" s="14" t="n"/>
      <c r="D34" s="14" t="n"/>
      <c r="E34" s="14" t="n"/>
      <c r="F34" s="14" t="n"/>
      <c r="G34" s="14" t="n"/>
      <c r="H34" s="14" t="n"/>
      <c r="I34" s="14" t="n"/>
      <c r="J34" s="14" t="n"/>
      <c r="K34" s="14" t="n"/>
      <c r="L34" s="14" t="n"/>
      <c r="M34" s="14" t="n"/>
    </row>
    <row r="35" ht="30" customHeight="1">
      <c r="B35" s="15">
        <f>IF(D35&lt;&gt;"","NM-"&amp;TEXT(ROW()-3,"000"),"")</f>
        <v/>
      </c>
      <c r="C35" s="16" t="n"/>
      <c r="D35" s="16" t="n"/>
      <c r="E35" s="16" t="n"/>
      <c r="F35" s="16" t="n"/>
      <c r="G35" s="16" t="n"/>
      <c r="H35" s="16" t="n"/>
      <c r="I35" s="16" t="n"/>
      <c r="J35" s="16" t="n"/>
      <c r="K35" s="16" t="n"/>
      <c r="L35" s="16" t="n"/>
      <c r="M35" s="16" t="n"/>
    </row>
    <row r="36" ht="30" customHeight="1">
      <c r="B36" s="13">
        <f>IF(D36&lt;&gt;"","NM-"&amp;TEXT(ROW()-3,"000"),"")</f>
        <v/>
      </c>
      <c r="C36" s="14" t="n"/>
      <c r="D36" s="14" t="n"/>
      <c r="E36" s="14" t="n"/>
      <c r="F36" s="14" t="n"/>
      <c r="G36" s="14" t="n"/>
      <c r="H36" s="14" t="n"/>
      <c r="I36" s="14" t="n"/>
      <c r="J36" s="14" t="n"/>
      <c r="K36" s="14" t="n"/>
      <c r="L36" s="14" t="n"/>
      <c r="M36" s="14" t="n"/>
    </row>
    <row r="37" ht="30" customHeight="1">
      <c r="B37" s="15">
        <f>IF(D37&lt;&gt;"","NM-"&amp;TEXT(ROW()-3,"000"),"")</f>
        <v/>
      </c>
      <c r="C37" s="16" t="n"/>
      <c r="D37" s="16" t="n"/>
      <c r="E37" s="16" t="n"/>
      <c r="F37" s="16" t="n"/>
      <c r="G37" s="16" t="n"/>
      <c r="H37" s="16" t="n"/>
      <c r="I37" s="16" t="n"/>
      <c r="J37" s="16" t="n"/>
      <c r="K37" s="16" t="n"/>
      <c r="L37" s="16" t="n"/>
      <c r="M37" s="16" t="n"/>
    </row>
    <row r="38" ht="30" customHeight="1">
      <c r="B38" s="13">
        <f>IF(D38&lt;&gt;"","NM-"&amp;TEXT(ROW()-3,"000"),"")</f>
        <v/>
      </c>
      <c r="C38" s="14" t="n"/>
      <c r="D38" s="14" t="n"/>
      <c r="E38" s="14" t="n"/>
      <c r="F38" s="14" t="n"/>
      <c r="G38" s="14" t="n"/>
      <c r="H38" s="14" t="n"/>
      <c r="I38" s="14" t="n"/>
      <c r="J38" s="14" t="n"/>
      <c r="K38" s="14" t="n"/>
      <c r="L38" s="14" t="n"/>
      <c r="M38" s="14" t="n"/>
    </row>
    <row r="39" ht="30" customHeight="1">
      <c r="B39" s="15">
        <f>IF(D39&lt;&gt;"","NM-"&amp;TEXT(ROW()-3,"000"),"")</f>
        <v/>
      </c>
      <c r="C39" s="16" t="n"/>
      <c r="D39" s="16" t="n"/>
      <c r="E39" s="16" t="n"/>
      <c r="F39" s="16" t="n"/>
      <c r="G39" s="16" t="n"/>
      <c r="H39" s="16" t="n"/>
      <c r="I39" s="16" t="n"/>
      <c r="J39" s="16" t="n"/>
      <c r="K39" s="16" t="n"/>
      <c r="L39" s="16" t="n"/>
      <c r="M39" s="16" t="n"/>
    </row>
    <row r="40" ht="30" customHeight="1">
      <c r="B40" s="13">
        <f>IF(D40&lt;&gt;"","NM-"&amp;TEXT(ROW()-3,"000"),"")</f>
        <v/>
      </c>
      <c r="C40" s="14" t="n"/>
      <c r="D40" s="14" t="n"/>
      <c r="E40" s="14" t="n"/>
      <c r="F40" s="14" t="n"/>
      <c r="G40" s="14" t="n"/>
      <c r="H40" s="14" t="n"/>
      <c r="I40" s="14" t="n"/>
      <c r="J40" s="14" t="n"/>
      <c r="K40" s="14" t="n"/>
      <c r="L40" s="14" t="n"/>
      <c r="M40" s="14" t="n"/>
    </row>
    <row r="41" ht="30" customHeight="1">
      <c r="B41" s="15">
        <f>IF(D41&lt;&gt;"","NM-"&amp;TEXT(ROW()-3,"000"),"")</f>
        <v/>
      </c>
      <c r="C41" s="16" t="n"/>
      <c r="D41" s="16" t="n"/>
      <c r="E41" s="16" t="n"/>
      <c r="F41" s="16" t="n"/>
      <c r="G41" s="16" t="n"/>
      <c r="H41" s="16" t="n"/>
      <c r="I41" s="16" t="n"/>
      <c r="J41" s="16" t="n"/>
      <c r="K41" s="16" t="n"/>
      <c r="L41" s="16" t="n"/>
      <c r="M41" s="16" t="n"/>
    </row>
    <row r="42" ht="30" customHeight="1">
      <c r="B42" s="13">
        <f>IF(D42&lt;&gt;"","NM-"&amp;TEXT(ROW()-3,"000"),"")</f>
        <v/>
      </c>
      <c r="C42" s="14" t="n"/>
      <c r="D42" s="14" t="n"/>
      <c r="E42" s="14" t="n"/>
      <c r="F42" s="14" t="n"/>
      <c r="G42" s="14" t="n"/>
      <c r="H42" s="14" t="n"/>
      <c r="I42" s="14" t="n"/>
      <c r="J42" s="14" t="n"/>
      <c r="K42" s="14" t="n"/>
      <c r="L42" s="14" t="n"/>
      <c r="M42" s="14" t="n"/>
    </row>
    <row r="43" ht="30" customHeight="1">
      <c r="B43" s="15">
        <f>IF(D43&lt;&gt;"","NM-"&amp;TEXT(ROW()-3,"000"),"")</f>
        <v/>
      </c>
      <c r="C43" s="16" t="n"/>
      <c r="D43" s="16" t="n"/>
      <c r="E43" s="16" t="n"/>
      <c r="F43" s="16" t="n"/>
      <c r="G43" s="16" t="n"/>
      <c r="H43" s="16" t="n"/>
      <c r="I43" s="16" t="n"/>
      <c r="J43" s="16" t="n"/>
      <c r="K43" s="16" t="n"/>
      <c r="L43" s="16" t="n"/>
      <c r="M43" s="16" t="n"/>
    </row>
    <row r="44" ht="30" customHeight="1">
      <c r="B44" s="13">
        <f>IF(D44&lt;&gt;"","NM-"&amp;TEXT(ROW()-3,"000"),"")</f>
        <v/>
      </c>
      <c r="C44" s="14" t="n"/>
      <c r="D44" s="14" t="n"/>
      <c r="E44" s="14" t="n"/>
      <c r="F44" s="14" t="n"/>
      <c r="G44" s="14" t="n"/>
      <c r="H44" s="14" t="n"/>
      <c r="I44" s="14" t="n"/>
      <c r="J44" s="14" t="n"/>
      <c r="K44" s="14" t="n"/>
      <c r="L44" s="14" t="n"/>
      <c r="M44" s="14" t="n"/>
    </row>
    <row r="45" ht="30" customHeight="1">
      <c r="B45" s="15">
        <f>IF(D45&lt;&gt;"","NM-"&amp;TEXT(ROW()-3,"000"),"")</f>
        <v/>
      </c>
      <c r="C45" s="16" t="n"/>
      <c r="D45" s="16" t="n"/>
      <c r="E45" s="16" t="n"/>
      <c r="F45" s="16" t="n"/>
      <c r="G45" s="16" t="n"/>
      <c r="H45" s="16" t="n"/>
      <c r="I45" s="16" t="n"/>
      <c r="J45" s="16" t="n"/>
      <c r="K45" s="16" t="n"/>
      <c r="L45" s="16" t="n"/>
      <c r="M45" s="16" t="n"/>
    </row>
    <row r="46" ht="30" customHeight="1">
      <c r="B46" s="13">
        <f>IF(D46&lt;&gt;"","NM-"&amp;TEXT(ROW()-3,"000"),"")</f>
        <v/>
      </c>
      <c r="C46" s="14" t="n"/>
      <c r="D46" s="14" t="n"/>
      <c r="E46" s="14" t="n"/>
      <c r="F46" s="14" t="n"/>
      <c r="G46" s="14" t="n"/>
      <c r="H46" s="14" t="n"/>
      <c r="I46" s="14" t="n"/>
      <c r="J46" s="14" t="n"/>
      <c r="K46" s="14" t="n"/>
      <c r="L46" s="14" t="n"/>
      <c r="M46" s="14" t="n"/>
    </row>
    <row r="47" ht="30" customHeight="1">
      <c r="B47" s="15">
        <f>IF(D47&lt;&gt;"","NM-"&amp;TEXT(ROW()-3,"000"),"")</f>
        <v/>
      </c>
      <c r="C47" s="16" t="n"/>
      <c r="D47" s="16" t="n"/>
      <c r="E47" s="16" t="n"/>
      <c r="F47" s="16" t="n"/>
      <c r="G47" s="16" t="n"/>
      <c r="H47" s="16" t="n"/>
      <c r="I47" s="16" t="n"/>
      <c r="J47" s="16" t="n"/>
      <c r="K47" s="16" t="n"/>
      <c r="L47" s="16" t="n"/>
      <c r="M47" s="16" t="n"/>
    </row>
    <row r="48" ht="30" customHeight="1">
      <c r="B48" s="13">
        <f>IF(D48&lt;&gt;"","NM-"&amp;TEXT(ROW()-3,"000"),"")</f>
        <v/>
      </c>
      <c r="C48" s="14" t="n"/>
      <c r="D48" s="14" t="n"/>
      <c r="E48" s="14" t="n"/>
      <c r="F48" s="14" t="n"/>
      <c r="G48" s="14" t="n"/>
      <c r="H48" s="14" t="n"/>
      <c r="I48" s="14" t="n"/>
      <c r="J48" s="14" t="n"/>
      <c r="K48" s="14" t="n"/>
      <c r="L48" s="14" t="n"/>
      <c r="M48" s="14" t="n"/>
    </row>
    <row r="49" ht="30" customHeight="1">
      <c r="B49" s="15">
        <f>IF(D49&lt;&gt;"","NM-"&amp;TEXT(ROW()-3,"000"),"")</f>
        <v/>
      </c>
      <c r="C49" s="16" t="n"/>
      <c r="D49" s="16" t="n"/>
      <c r="E49" s="16" t="n"/>
      <c r="F49" s="16" t="n"/>
      <c r="G49" s="16" t="n"/>
      <c r="H49" s="16" t="n"/>
      <c r="I49" s="16" t="n"/>
      <c r="J49" s="16" t="n"/>
      <c r="K49" s="16" t="n"/>
      <c r="L49" s="16" t="n"/>
      <c r="M49" s="16" t="n"/>
    </row>
    <row r="50" ht="30" customHeight="1">
      <c r="B50" s="13">
        <f>IF(D50&lt;&gt;"","NM-"&amp;TEXT(ROW()-3,"000"),"")</f>
        <v/>
      </c>
      <c r="C50" s="14" t="n"/>
      <c r="D50" s="14" t="n"/>
      <c r="E50" s="14" t="n"/>
      <c r="F50" s="14" t="n"/>
      <c r="G50" s="14" t="n"/>
      <c r="H50" s="14" t="n"/>
      <c r="I50" s="14" t="n"/>
      <c r="J50" s="14" t="n"/>
      <c r="K50" s="14" t="n"/>
      <c r="L50" s="14" t="n"/>
      <c r="M50" s="14" t="n"/>
    </row>
    <row r="51" ht="30" customHeight="1">
      <c r="B51" s="15">
        <f>IF(D51&lt;&gt;"","NM-"&amp;TEXT(ROW()-3,"000"),"")</f>
        <v/>
      </c>
      <c r="C51" s="16" t="n"/>
      <c r="D51" s="16" t="n"/>
      <c r="E51" s="16" t="n"/>
      <c r="F51" s="16" t="n"/>
      <c r="G51" s="16" t="n"/>
      <c r="H51" s="16" t="n"/>
      <c r="I51" s="16" t="n"/>
      <c r="J51" s="16" t="n"/>
      <c r="K51" s="16" t="n"/>
      <c r="L51" s="16" t="n"/>
      <c r="M51" s="16" t="n"/>
    </row>
    <row r="52" ht="30" customHeight="1">
      <c r="B52" s="13">
        <f>IF(D52&lt;&gt;"","NM-"&amp;TEXT(ROW()-3,"000"),"")</f>
        <v/>
      </c>
      <c r="C52" s="14" t="n"/>
      <c r="D52" s="14" t="n"/>
      <c r="E52" s="14" t="n"/>
      <c r="F52" s="14" t="n"/>
      <c r="G52" s="14" t="n"/>
      <c r="H52" s="14" t="n"/>
      <c r="I52" s="14" t="n"/>
      <c r="J52" s="14" t="n"/>
      <c r="K52" s="14" t="n"/>
      <c r="L52" s="14" t="n"/>
      <c r="M52" s="14" t="n"/>
    </row>
    <row r="53" ht="30" customHeight="1">
      <c r="B53" s="15">
        <f>IF(D53&lt;&gt;"","NM-"&amp;TEXT(ROW()-3,"000"),"")</f>
        <v/>
      </c>
      <c r="C53" s="16" t="n"/>
      <c r="D53" s="16" t="n"/>
      <c r="E53" s="16" t="n"/>
      <c r="F53" s="16" t="n"/>
      <c r="G53" s="16" t="n"/>
      <c r="H53" s="16" t="n"/>
      <c r="I53" s="16" t="n"/>
      <c r="J53" s="16" t="n"/>
      <c r="K53" s="16" t="n"/>
      <c r="L53" s="16" t="n"/>
      <c r="M53" s="16" t="n"/>
    </row>
    <row r="54" ht="30" customHeight="1">
      <c r="B54" s="13">
        <f>IF(D54&lt;&gt;"","NM-"&amp;TEXT(ROW()-3,"000"),"")</f>
        <v/>
      </c>
      <c r="C54" s="14" t="n"/>
      <c r="D54" s="14" t="n"/>
      <c r="E54" s="14" t="n"/>
      <c r="F54" s="14" t="n"/>
      <c r="G54" s="14" t="n"/>
      <c r="H54" s="14" t="n"/>
      <c r="I54" s="14" t="n"/>
      <c r="J54" s="14" t="n"/>
      <c r="K54" s="14" t="n"/>
      <c r="L54" s="14" t="n"/>
      <c r="M54" s="14" t="n"/>
    </row>
    <row r="55" ht="30" customHeight="1">
      <c r="B55" s="15">
        <f>IF(D55&lt;&gt;"","NM-"&amp;TEXT(ROW()-3,"000"),"")</f>
        <v/>
      </c>
      <c r="C55" s="16" t="n"/>
      <c r="D55" s="16" t="n"/>
      <c r="E55" s="16" t="n"/>
      <c r="F55" s="16" t="n"/>
      <c r="G55" s="16" t="n"/>
      <c r="H55" s="16" t="n"/>
      <c r="I55" s="16" t="n"/>
      <c r="J55" s="16" t="n"/>
      <c r="K55" s="16" t="n"/>
      <c r="L55" s="16" t="n"/>
      <c r="M55" s="16" t="n"/>
    </row>
    <row r="56" ht="30" customHeight="1">
      <c r="B56" s="13">
        <f>IF(D56&lt;&gt;"","NM-"&amp;TEXT(ROW()-3,"000"),"")</f>
        <v/>
      </c>
      <c r="C56" s="14" t="n"/>
      <c r="D56" s="14" t="n"/>
      <c r="E56" s="14" t="n"/>
      <c r="F56" s="14" t="n"/>
      <c r="G56" s="14" t="n"/>
      <c r="H56" s="14" t="n"/>
      <c r="I56" s="14" t="n"/>
      <c r="J56" s="14" t="n"/>
      <c r="K56" s="14" t="n"/>
      <c r="L56" s="14" t="n"/>
      <c r="M56" s="14" t="n"/>
    </row>
  </sheetData>
  <mergeCells count="5">
    <mergeCell ref="E2:G2"/>
    <mergeCell ref="H2:I2"/>
    <mergeCell ref="J2:M2"/>
    <mergeCell ref="B1:M1"/>
    <mergeCell ref="B2:D2"/>
  </mergeCells>
  <conditionalFormatting sqref="G4:G56">
    <cfRule type="cellIs" priority="2" operator="equal" dxfId="8">
      <formula>"High"</formula>
    </cfRule>
    <cfRule type="cellIs" priority="3" operator="equal" dxfId="3">
      <formula>"Medium"</formula>
    </cfRule>
    <cfRule type="cellIs" priority="4" operator="equal" dxfId="4">
      <formula>"Low"</formula>
    </cfRule>
  </conditionalFormatting>
  <conditionalFormatting sqref="L4:L56">
    <cfRule type="cellIs" priority="8" operator="equal" dxfId="3">
      <formula>"No"</formula>
    </cfRule>
  </conditionalFormatting>
  <conditionalFormatting sqref="M4:M56">
    <cfRule type="cellIs" priority="5" operator="equal" dxfId="4">
      <formula>"Closed"</formula>
    </cfRule>
    <cfRule type="cellIs" priority="6" operator="equal" dxfId="3">
      <formula>"Investigating"</formula>
    </cfRule>
    <cfRule type="cellIs" priority="7" operator="equal" dxfId="2">
      <formula>"Open"</formula>
    </cfRule>
  </conditionalFormatting>
  <dataValidations count="5">
    <dataValidation sqref="D4:D56" showDropDown="0" showInputMessage="0" showErrorMessage="0" allowBlank="1" type="list">
      <formula1>"Near Miss,Safety Observation,OPEX (External),Positive Observation"</formula1>
      <formula2>0</formula2>
    </dataValidation>
    <dataValidation sqref="F4:F56" showDropDown="0" showInputMessage="0" showErrorMessage="0" allowBlank="1" type="list">
      <formula1>"IR,QA,CO,LR,DM,WE,CL,PI,RC,WP"</formula1>
      <formula2>0</formula2>
    </dataValidation>
    <dataValidation sqref="G4:G56" showDropDown="0" showInputMessage="0" showErrorMessage="0" allowBlank="1" type="list">
      <formula1>"Low,Medium,High"</formula1>
      <formula2>0</formula2>
    </dataValidation>
    <dataValidation sqref="L4:L56" showDropDown="0" showInputMessage="0" showErrorMessage="0" allowBlank="1" type="list">
      <formula1>"Yes,No,Planned"</formula1>
      <formula2>0</formula2>
    </dataValidation>
    <dataValidation sqref="M4:M56" showDropDown="0" showInputMessage="0" showErrorMessage="0" allowBlank="1" type="list">
      <formula1>"Open,Investigating,Closed"</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B1:D24"/>
  <sheetViews>
    <sheetView showGridLines="0" zoomScaleNormal="100" workbookViewId="0">
      <selection activeCell="A1" sqref="A1"/>
    </sheetView>
  </sheetViews>
  <sheetFormatPr baseColWidth="8" defaultColWidth="8.6640625" defaultRowHeight="14.4"/>
  <cols>
    <col width="3" customWidth="1" min="1" max="1"/>
    <col width="38" customWidth="1" min="2" max="2"/>
    <col width="18" customWidth="1" min="3" max="4"/>
  </cols>
  <sheetData>
    <row r="1" ht="50" customHeight="1">
      <c r="B1" s="8" t="inlineStr">
        <is>
          <t>NSS-02d  |  NEAR MISS AND OPEX  |  Dashboard</t>
        </is>
      </c>
    </row>
    <row r="3" ht="21.75" customHeight="1">
      <c r="B3" s="17" t="inlineStr">
        <is>
          <t>Metric</t>
        </is>
      </c>
      <c r="C3" s="17" t="inlineStr">
        <is>
          <t>Count</t>
        </is>
      </c>
    </row>
    <row r="4" ht="21.75" customHeight="1">
      <c r="B4" s="18" t="inlineStr">
        <is>
          <t>Total Entries Logged</t>
        </is>
      </c>
      <c r="C4" s="19">
        <f>COUNTA('Near Miss and OPEX Log'!D4:D56)</f>
        <v/>
      </c>
    </row>
    <row r="5" ht="21.75" customHeight="1">
      <c r="B5" s="20" t="inlineStr">
        <is>
          <t>High Significance Entries</t>
        </is>
      </c>
      <c r="C5" s="21">
        <f>COUNTIF('Near Miss and OPEX Log'!G4:G56,"High")</f>
        <v/>
      </c>
    </row>
    <row r="6" ht="21.75" customHeight="1">
      <c r="B6" s="18" t="inlineStr">
        <is>
          <t>High Significance Still Open</t>
        </is>
      </c>
      <c r="C6" s="19">
        <f>COUNTIFS('Near Miss and OPEX Log'!G4:G56,"High",'Near Miss and OPEX Log'!M4:M56,"&lt;&gt;Closed")</f>
        <v/>
      </c>
    </row>
    <row r="7" ht="21.75" customHeight="1">
      <c r="B7" s="20" t="inlineStr">
        <is>
          <t>Medium Significance Entries</t>
        </is>
      </c>
      <c r="C7" s="21">
        <f>COUNTIF('Near Miss and OPEX Log'!G4:G56,"Medium")</f>
        <v/>
      </c>
    </row>
    <row r="8" ht="21.75" customHeight="1">
      <c r="B8" s="18" t="inlineStr">
        <is>
          <t>Low Significance Entries</t>
        </is>
      </c>
      <c r="C8" s="19">
        <f>COUNTIF('Near Miss and OPEX Log'!G4:G56,"Low")</f>
        <v/>
      </c>
    </row>
    <row r="9" ht="21.75" customHeight="1">
      <c r="B9" s="20" t="inlineStr">
        <is>
          <t>Open / Investigating</t>
        </is>
      </c>
      <c r="C9" s="21">
        <f>COUNTIFS('Near Miss and OPEX Log'!M4:M56,"&lt;&gt;Closed",'Near Miss and OPEX Log'!M4:M56,"&lt;&gt;")</f>
        <v/>
      </c>
    </row>
    <row r="10" ht="21.75" customHeight="1">
      <c r="B10" s="18" t="inlineStr">
        <is>
          <t>Closed</t>
        </is>
      </c>
      <c r="C10" s="19">
        <f>COUNTIF('Near Miss and OPEX Log'!M4:M56,"Closed")</f>
        <v/>
      </c>
    </row>
    <row r="11" ht="21.75" customHeight="1">
      <c r="B11" s="20" t="inlineStr">
        <is>
          <t>Lessons Not Yet Shared</t>
        </is>
      </c>
      <c r="C11" s="21">
        <f>COUNTIF('Near Miss and OPEX Log'!L4:L56,"No")</f>
        <v/>
      </c>
    </row>
    <row r="12" ht="21.75" customHeight="1">
      <c r="B12" s="18" t="inlineStr">
        <is>
          <t>Positive Observations Logged</t>
        </is>
      </c>
      <c r="C12" s="19">
        <f>COUNTIF('Near Miss and OPEX Log'!D4:D56,"Positive Observation")</f>
        <v/>
      </c>
    </row>
    <row r="14" ht="24" customHeight="1">
      <c r="B14" s="1" t="inlineStr">
        <is>
          <t>ENTRIES BY TRAIT</t>
        </is>
      </c>
    </row>
    <row r="15" ht="19.5" customHeight="1">
      <c r="B15" s="22" t="inlineStr">
        <is>
          <t>IR - Individual Responsibility</t>
        </is>
      </c>
      <c r="C15" s="15">
        <f>SUMPRODUCT(--ISNUMBER(SEARCH("IR",'Near Miss and OPEX Log'!$F$4:$F$56)))</f>
        <v/>
      </c>
    </row>
    <row r="16" ht="19.5" customHeight="1">
      <c r="B16" s="23" t="inlineStr">
        <is>
          <t>QA - Questioning Attitude</t>
        </is>
      </c>
      <c r="C16" s="24">
        <f>SUMPRODUCT(--ISNUMBER(SEARCH("QA",'Near Miss and OPEX Log'!$F$4:$F$56)))</f>
        <v/>
      </c>
    </row>
    <row r="17" ht="19.5" customHeight="1">
      <c r="B17" s="22" t="inlineStr">
        <is>
          <t>CO - Communication</t>
        </is>
      </c>
      <c r="C17" s="15">
        <f>SUMPRODUCT(--ISNUMBER(SEARCH("CO",'Near Miss and OPEX Log'!$F$4:$F$56)))</f>
        <v/>
      </c>
    </row>
    <row r="18" ht="19.5" customHeight="1">
      <c r="B18" s="23" t="inlineStr">
        <is>
          <t>LR - Leader Responsibility</t>
        </is>
      </c>
      <c r="C18" s="24">
        <f>SUMPRODUCT(--ISNUMBER(SEARCH("LR",'Near Miss and OPEX Log'!$F$4:$F$56)))</f>
        <v/>
      </c>
    </row>
    <row r="19" ht="19.5" customHeight="1">
      <c r="B19" s="22" t="inlineStr">
        <is>
          <t>DM - Decision-Making</t>
        </is>
      </c>
      <c r="C19" s="15">
        <f>SUMPRODUCT(--ISNUMBER(SEARCH("DM",'Near Miss and OPEX Log'!$F$4:$F$56)))</f>
        <v/>
      </c>
    </row>
    <row r="20" ht="19.5" customHeight="1">
      <c r="B20" s="23" t="inlineStr">
        <is>
          <t>WE - Work Environment</t>
        </is>
      </c>
      <c r="C20" s="24">
        <f>SUMPRODUCT(--ISNUMBER(SEARCH("WE",'Near Miss and OPEX Log'!$F$4:$F$56)))</f>
        <v/>
      </c>
    </row>
    <row r="21" ht="19.5" customHeight="1">
      <c r="B21" s="22" t="inlineStr">
        <is>
          <t>CL - Continuous Learning</t>
        </is>
      </c>
      <c r="C21" s="15">
        <f>SUMPRODUCT(--ISNUMBER(SEARCH("CL",'Near Miss and OPEX Log'!$F$4:$F$56)))</f>
        <v/>
      </c>
    </row>
    <row r="22" ht="19.5" customHeight="1">
      <c r="B22" s="23" t="inlineStr">
        <is>
          <t>PI - Problem Identification and Resolution</t>
        </is>
      </c>
      <c r="C22" s="24">
        <f>SUMPRODUCT(--ISNUMBER(SEARCH("PI",'Near Miss and OPEX Log'!$F$4:$F$56)))</f>
        <v/>
      </c>
    </row>
    <row r="23" ht="19.5" customHeight="1">
      <c r="B23" s="22" t="inlineStr">
        <is>
          <t>RC - Raising Concerns</t>
        </is>
      </c>
      <c r="C23" s="15">
        <f>SUMPRODUCT(--ISNUMBER(SEARCH("RC",'Near Miss and OPEX Log'!$F$4:$F$56)))</f>
        <v/>
      </c>
    </row>
    <row r="24" ht="19.5" customHeight="1">
      <c r="B24" s="23" t="inlineStr">
        <is>
          <t>WP - Work Planning</t>
        </is>
      </c>
      <c r="C24" s="24">
        <f>SUMPRODUCT(--ISNUMBER(SEARCH("WP",'Near Miss and OPEX Log'!$F$4:$F$56)))</f>
        <v/>
      </c>
    </row>
  </sheetData>
  <mergeCells count="2">
    <mergeCell ref="B1:D1"/>
    <mergeCell ref="B14:D14"/>
  </mergeCells>
  <conditionalFormatting sqref="C6">
    <cfRule type="cellIs" priority="2" operator="greaterThan" dxfId="1">
      <formula>0</formula>
    </cfRule>
  </conditionalFormatting>
  <conditionalFormatting sqref="C11">
    <cfRule type="cellIs" priority="3" operator="greaterThan" dxfId="0">
      <formula>0</formula>
    </cfRule>
  </conditionalFormatting>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185D3C-7AE0-4171-9671-504BA38436D5}"/>
</file>

<file path=customXml/itemProps2.xml><?xml version="1.0" encoding="utf-8"?>
<ds:datastoreItem xmlns:ds="http://schemas.openxmlformats.org/officeDocument/2006/customXml" ds:itemID="{097B2EC7-405C-4365-8D24-BE0AEB1849AB}"/>
</file>

<file path=customXml/itemProps3.xml><?xml version="1.0" encoding="utf-8"?>
<ds:datastoreItem xmlns:ds="http://schemas.openxmlformats.org/officeDocument/2006/customXml" ds:itemID="{D3C93C1B-D1E6-46D0-BCD3-BC608BF5AD4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NSS-02d Nuclear Near Miss Operational Experience Log</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